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Ụ LỤC" sheetId="1" r:id="rId4"/>
    <sheet state="visible" name="PLAN THỰC HIỆN" sheetId="2" r:id="rId5"/>
    <sheet state="hidden" name="1. PHÂN HỆ POS-ĐIỂM BÁN LẺ" sheetId="3" r:id="rId6"/>
    <sheet state="visible" name="MÔ TẢ CHI TIẾT PHÂN HỆ" sheetId="4" r:id="rId7"/>
    <sheet state="hidden" name="4. PHÂN HỆ DMS" sheetId="5" r:id="rId8"/>
    <sheet state="hidden" name="9. APP KHÁCH HÀNG THÂN THIẾT" sheetId="6" r:id="rId9"/>
    <sheet state="hidden" name="10. Website TMĐT" sheetId="7" r:id="rId10"/>
  </sheets>
  <definedNames/>
  <calcPr/>
  <extLst>
    <ext uri="GoogleSheetsCustomDataVersion2">
      <go:sheetsCustomData xmlns:go="http://customooxmlschemas.google.com/" r:id="rId11" roundtripDataChecksum="EwVZqX8cFkNPaei81/ytUu4B1xT8Izn+nw1VdKKTkUI="/>
    </ext>
  </extLst>
</workbook>
</file>

<file path=xl/sharedStrings.xml><?xml version="1.0" encoding="utf-8"?>
<sst xmlns="http://schemas.openxmlformats.org/spreadsheetml/2006/main" count="667" uniqueCount="415">
  <si>
    <t>BẢNG DANH SÁCH 
PHÂN HỆ HỆ THỐNG ERPCLOUD</t>
  </si>
  <si>
    <r>
      <rPr>
        <rFont val="Times New Roman"/>
        <b/>
        <color theme="1"/>
        <sz val="12.0"/>
      </rPr>
      <t xml:space="preserve">CÔNG TY TNHH TIN HỌC VÀ CÔNG NGHỆ THÔNG TIN ĐỊA LÝ ITGIS
</t>
    </r>
    <r>
      <rPr>
        <rFont val="Times New Roman"/>
        <color theme="1"/>
        <sz val="12.0"/>
      </rPr>
      <t>VP: 238/12 Lê Văn Qưới, Bình Hưng Hoà ,TP.Hồ Chí Minh
 Web: erpcloud.vn | info@erpcloud.vn
                                                                    Hotline:0907088139</t>
    </r>
  </si>
  <si>
    <t>Chủ đầu tư: Anh Đạt</t>
  </si>
  <si>
    <t xml:space="preserve">Đơn vị thi công: ERPCloud.vn        </t>
  </si>
  <si>
    <t>Địa chỉ: Toà Nhà Việt Hàn, Số 24-26 Đường 8B, Phường Bình Trưng, TP.HCM</t>
  </si>
  <si>
    <t xml:space="preserve">Địa chỉ: 238/12 Lê Văn Quới, Bình Hưng Hoà A, Bình Tân, TPHCM                        </t>
  </si>
  <si>
    <t>Số điện thoại:...</t>
  </si>
  <si>
    <t xml:space="preserve">Số điện thoại: 0902.397.188 Mr.Thống		</t>
  </si>
  <si>
    <t>STT</t>
  </si>
  <si>
    <t>Danh sách phân hệ</t>
  </si>
  <si>
    <t>Báo giá</t>
  </si>
  <si>
    <t>Mô tả</t>
  </si>
  <si>
    <t>CRM (Quan hệ Khách hàng)</t>
  </si>
  <si>
    <t>Quản lý các Cơ hội Kinh doanh (Leads/Opportunities) từ giai đoạn đầu, theo dõi lịch sử tương tác với khách hàng, khởi tạo các mối quan hệ dẫn đến Hợp đồng/Dự án.</t>
  </si>
  <si>
    <t>Sales (Bán hàng)</t>
  </si>
  <si>
    <t>Quản lý Hợp đồng/Công trình và Đơn hàng Kế hoạch (SO). Ghi nhận Khách hàng và Mác bê tông, Tổng khối lượng Hợp đồng (Quota).</t>
  </si>
  <si>
    <t>Project (Dự án)</t>
  </si>
  <si>
    <t>Quản lý theo dõi tiến độ cấp cao theo từng công trình. Sử dụng để nhóm các Đơn hàng (SO) và Lệnh Sản xuất lại với nhau, cung cấp cái nhìn tổng quan về tiến độ dự án.</t>
  </si>
  <si>
    <t>Inventory (Kho)</t>
  </si>
  <si>
    <t>Quản lý danh mục và tồn kho Nguyên vật liệu (Xi măng, Cát, Đá, Phụ gia...).</t>
  </si>
  <si>
    <t>Purchases (Mua hàng)</t>
  </si>
  <si>
    <t>Quản lý việc mua sắm Nguyên vật liệu.</t>
  </si>
  <si>
    <t>Accounting (Kế toán)</t>
  </si>
  <si>
    <t>Quản lý Tài chính toàn diện, bao gồm Công nợ và Giá thành.</t>
  </si>
  <si>
    <t>Manufacturing (Sản xuất)</t>
  </si>
  <si>
    <t>Tạo Lệnh Sản xuất Bê tông (MO) theo yêu cầu hàng ngày, gắn với Đơn hàng (SO).
Ghi nhận các điểm kiểm tra chất lượng (QC) theo từng mẻ trộn.</t>
  </si>
  <si>
    <t>Giao hàng (Logistics/Delivery)</t>
  </si>
  <si>
    <t>Quản lý và theo dõi từng chuyến xe vận chuyển bê tông theo đơn hàng. Thực thi cơ chế kiểm soát vi phạm đổ sai/dừng đỗ bất thường.</t>
  </si>
  <si>
    <t>Nhân sự HRM</t>
  </si>
  <si>
    <t>Quản lý hồ sơ nhân viên và theo dõi hiệu suất, đặc biệt là Tài xế, Điều phối, Trưởng trạm, chấm công, tính lương, quản lý nghỉ phép</t>
  </si>
  <si>
    <t>⭐ Báo cáo Dashboard</t>
  </si>
  <si>
    <t>Cung cấp báo cáo tổng hợp và đối chiếu tự động giữa kế hoạch – sản xuất – vận chuyển. Trực quan hóa KPI và hiệu suất điều hành.</t>
  </si>
  <si>
    <t>Tích hợp API</t>
  </si>
  <si>
    <t>Tích hợp Odoo ↔ Bmes, ACS, EUP, FAST: Xây dựng các kết nối API để Odoo nhận Sản lượng/Tiêu hao NVL (từ Bmes), Khối lượng Cân (từ ACS), và Vị trí/Vi phạm Vận tải (từ EUP).</t>
  </si>
  <si>
    <t>TỔNG CỘNG (CHƯA VAT)</t>
  </si>
  <si>
    <t>MỤC TIÊU DỰ ÁN</t>
  </si>
  <si>
    <t>1. Thiết lập hệ thống vận hành nội bộ liên phòng ban</t>
  </si>
  <si>
    <t>2. Cơ chế kiểm soát công việc (sản xuất sản lượng bê tông)</t>
  </si>
  <si>
    <t>3. Đối soát và truy vết dữ liệu nhanh chóng</t>
  </si>
  <si>
    <t>4. Tính toán Giá thành Thực tế</t>
  </si>
  <si>
    <t>5. Xây dựng Dashboard báo cáo trực quan</t>
  </si>
  <si>
    <t>PHẠM VI DỰ ÁN</t>
  </si>
  <si>
    <t>Note:</t>
  </si>
  <si>
    <t>- ERPCloud cam kết xử lý toàn bộ phát sinh nằm trong phạm vi triển khai dự án.</t>
  </si>
  <si>
    <t>- ERPCloud hỗ trợ liên kết API với tất cả các đơn vị thứ 3</t>
  </si>
  <si>
    <t>BẢNG KẾ HOẠCH
THEO CÔNG VIỆC HOÀN THÀNH</t>
  </si>
  <si>
    <r>
      <rPr>
        <rFont val="Times New Roman"/>
        <b/>
        <color theme="1"/>
        <sz val="12.0"/>
      </rPr>
      <t xml:space="preserve">CÔNG TY TNHH TIN HỌC VÀ CÔNG NGHỆ THÔNG TIN ĐỊA LÝ ITGIS
</t>
    </r>
    <r>
      <rPr>
        <rFont val="Times New Roman"/>
        <color theme="1"/>
        <sz val="12.0"/>
      </rPr>
      <t>VP: 238/12 Lê Văn Qưới, Bình Hưng Hoà ,TP.Hồ Chí Minh
 Web: erpcloud.vn | info@erpcloud.vn
                                                                    Hotline:0907088139</t>
    </r>
  </si>
  <si>
    <t>BẢNG GANTT KẾ HOẠCH &amp; CHI PHÍ TRIỂN KHAI ERPCLOUD</t>
  </si>
  <si>
    <t>Tháng triển khai</t>
  </si>
  <si>
    <t>Ghi chú</t>
  </si>
  <si>
    <t>Công việc</t>
  </si>
  <si>
    <r>
      <rPr>
        <rFont val="Times New Roman"/>
        <b/>
        <color theme="1"/>
        <sz val="12.0"/>
      </rPr>
      <t>Phân tích yêu cầu &amp; Thiết kế hệ thống</t>
    </r>
    <r>
      <rPr>
        <rFont val="Times New Roman"/>
        <color theme="1"/>
        <sz val="12.0"/>
      </rPr>
      <t xml:space="preserve">
- Thu thập, phân tích chi tiết yêu cầu người dùng và nghiệp vụ doanh nghiệp. 
 - Xây dựng tài liệu đặc tả yêu cầu, luồng nghiệp vụ. 
 - Thiết kế kiến trúc hệ thống (Front-end, Back-end, Database). 
 - Thiết kế giao diện người dùng (UI/UX).</t>
    </r>
  </si>
  <si>
    <t>Thống nhất Masterdata, quy trình liên phòng ban, tổng hợp các phiếu in, biểu mẫu, báo cáo. Chốt phạm vi &amp; cơ sở nghiệm thu dự án.</t>
  </si>
  <si>
    <r>
      <rPr>
        <rFont val="Times New Roman"/>
        <b/>
        <color theme="1"/>
        <sz val="12.0"/>
      </rPr>
      <t>Triển khai phân hệ CRM + Bán hàng + Dự án</t>
    </r>
    <r>
      <rPr>
        <rFont val="Times New Roman"/>
        <color theme="1"/>
        <sz val="12.0"/>
      </rPr>
      <t xml:space="preserve">
- Phát triển các tính năng chính kinh doanh bán hàng, quản lý cơ hội, tạo hợp đồng, quản lý dự án</t>
    </r>
  </si>
  <si>
    <t>Thiết lập quy trình liên phòng ban phục vụ phòng kinh doanh quản lý bán hàng</t>
  </si>
  <si>
    <r>
      <rPr>
        <rFont val="Times New Roman"/>
        <b/>
        <color theme="1"/>
        <sz val="12.0"/>
      </rPr>
      <t>Triển khai phân hệ Mua hàng + Kho + Thu chi + Bán hàng</t>
    </r>
    <r>
      <rPr>
        <rFont val="Times New Roman"/>
        <color theme="1"/>
        <sz val="12.0"/>
      </rPr>
      <t xml:space="preserve">
- Xây dựng hệ thống quản lý sản phẩm, đơn hàng, khách hàng. 
- Xây dựng luồng vận hành nội bộ theo quy tắc tái cung ứng</t>
    </r>
  </si>
  <si>
    <t>Thiết lập một quy trình từ khi phát sinh nhu cầu mua hàng cho đến khi thanh toán và ghi nhận vào sổ quỹ.</t>
  </si>
  <si>
    <r>
      <rPr>
        <rFont val="Times New Roman"/>
        <b/>
        <color theme="1"/>
        <sz val="12.0"/>
      </rPr>
      <t>Triển khai phân hệ Sản xuất + Kho hàng + Kế toán</t>
    </r>
    <r>
      <rPr>
        <rFont val="Times New Roman"/>
        <color theme="1"/>
        <sz val="12.0"/>
      </rPr>
      <t xml:space="preserve">
- Xây dựng các tính năng quản lý sản xuất, tính giá thành
- Xây dựng quản lý tồn kho, xuất nhập tồn</t>
    </r>
  </si>
  <si>
    <t>Thiết lập một quy trình sản xuất, tính giá thành sản phẩm, phân tích lãi lỗ</t>
  </si>
  <si>
    <r>
      <rPr>
        <rFont val="Times New Roman"/>
        <b/>
        <color theme="1"/>
        <sz val="12.0"/>
      </rPr>
      <t>Triển khai phân hệ nhân sự HRM</t>
    </r>
    <r>
      <rPr>
        <rFont val="Times New Roman"/>
        <color theme="1"/>
        <sz val="12.0"/>
      </rPr>
      <t xml:space="preserve">
- Xây dựng sơ đồ cơ cấu tổ chức
- Xây dựng hệ thống chấm công, tính lương</t>
    </r>
  </si>
  <si>
    <t>Quản trị nhân sự như chấm công, quản lý nghỉ phép, và tính toán lương bổng/phụ cấp</t>
  </si>
  <si>
    <r>
      <rPr>
        <rFont val="Times New Roman"/>
        <b/>
        <color theme="1"/>
        <sz val="12.0"/>
      </rPr>
      <t>Tích hợp API với các đơn vị thứ 3</t>
    </r>
    <r>
      <rPr>
        <rFont val="Times New Roman"/>
        <color theme="1"/>
        <sz val="12.0"/>
      </rPr>
      <t xml:space="preserve">
- Xây dựng hệ thống API Hub để kết nối dữ liệu</t>
    </r>
  </si>
  <si>
    <t>Khai thác dữ liệu và quản lý dữ liệu đồng nhất trên Odoo.</t>
  </si>
  <si>
    <r>
      <rPr>
        <rFont val="Times New Roman"/>
        <b/>
        <color theme="1"/>
        <sz val="12.0"/>
      </rPr>
      <t>Kiểm thử &amp; Đảm bảo chất lượng (QA)</t>
    </r>
    <r>
      <rPr>
        <rFont val="Times New Roman"/>
        <color theme="1"/>
        <sz val="12.0"/>
      </rPr>
      <t xml:space="preserve">
- Thực hiện kiểm thử chức năng, hiệu năng, bảo mật trên các thiết bị khác nhau. 
 - Sửa lỗi phát sinh trong quá trình kiểm thử. 
 - Đảm bảo chất lượng toàn bộ hệ thống trước khi bàn giao.</t>
    </r>
  </si>
  <si>
    <t>Đảm bảo hệ thống vận hành đúng theo vận hành thực tế của doanh nghiệp. Điều chỉnh tất cả các lỗi phát sinh trong quá trình kiểm thử.</t>
  </si>
  <si>
    <r>
      <rPr>
        <rFont val="Times New Roman"/>
        <b/>
        <color theme="1"/>
        <sz val="12.0"/>
      </rPr>
      <t>Triển khai &amp; Bàn giao Source Code</t>
    </r>
    <r>
      <rPr>
        <rFont val="Times New Roman"/>
        <color theme="1"/>
        <sz val="12.0"/>
      </rPr>
      <t xml:space="preserve">
- Cấu hình máy chủ, triển khai hệ thống lên Server Cloud cho khách hàng. 
 - Bàn giao toàn bộ Source Code cho Bên A. 
 - Hướng dẫn sử dụng và tài liệu kỹ thuật.</t>
    </r>
  </si>
  <si>
    <t>Đảm bảo Bên A có quyền kiểm soát và khả năng phát triển trong tương lai. Và nhân sự Key có thể tự hướng dẫn lại cho nhân viên của mình. Cung cấp &amp; hướng dẫn sử dụng tài liệu hướng dẫn cho từng phòng ban cụ thể.</t>
  </si>
  <si>
    <r>
      <rPr>
        <rFont val="Times New Roman"/>
        <b/>
        <color theme="1"/>
        <sz val="12.0"/>
      </rPr>
      <t>Bảo hành &amp; Hỗ trợ kỹ thuật</t>
    </r>
    <r>
      <rPr>
        <rFont val="Times New Roman"/>
        <color theme="1"/>
        <sz val="12.0"/>
      </rPr>
      <t xml:space="preserve">
- Bảo hành 3 tháng sau khi ký biên bản bàn giao hệ thống. 
- Hỗ trợ xử lý các lỗi phát sinh do quá trình phát triển.</t>
    </r>
  </si>
  <si>
    <t>Đảm bảo hệ thống vận hành ổn định trong giai đoạn đầu</t>
  </si>
  <si>
    <t xml:space="preserve">*Note: </t>
  </si>
  <si>
    <r>
      <rPr>
        <rFont val="Times New Roman"/>
        <b/>
        <color rgb="FFFF0000"/>
        <sz val="12.0"/>
      </rPr>
      <t>Chi phí trên đã bao gồm tất cả phát sinh trong quá trình triển khai dự án thực tế</t>
    </r>
    <r>
      <rPr>
        <rFont val="Times New Roman"/>
        <b/>
        <color theme="1"/>
        <sz val="12.0"/>
      </rPr>
      <t xml:space="preserve"> (Chưa bao gồm VAT)</t>
    </r>
  </si>
  <si>
    <t>Danh sách tính năng, luồng hệ thống, Cơ sở nghiệm thu sẽ được ký biên bản cụ thể, chi tiết sau tháng 1.</t>
  </si>
  <si>
    <t>ERPCloud sẽ bàn giao toàn bộ hệ thống cho doanh nghiệp tự vận hành</t>
  </si>
  <si>
    <t xml:space="preserve">ERPCloud bảo hành dự án trong vòng 3 tháng kể từ ngày ký kết biên bản bàn giao. </t>
  </si>
  <si>
    <t>* Sau 3 tháng, trong quá trình vận hành phát sinh lỗi không có sự can thiệp bởi đơn vị thứ 3, thì ERPCLOUD sẽ hỗ trợ hoàn toàn miễn phí</t>
  </si>
  <si>
    <t>* Nếu sau 3 tháng, phát sinh lỗi do đơn vị thứ 3 can thiệp thì khối lượng công việc cải thiện sẽ được tính theo Mainday (2.500.000 VNĐ), sẽ được thống nhất cụ thể giữa 2 bên theo khối lượng thực tế</t>
  </si>
  <si>
    <t>BẢNG DANH SÁCH TÍNH NĂNG HỆ THỐNG PHẦN MỀM</t>
  </si>
  <si>
    <t>"Mã biểu mẫu: DSTN
Lần ban hành: 01
Ngày hiệu lực: 01/01/2020
Trang:1/1"</t>
  </si>
  <si>
    <t>Chủ đầu tư:</t>
  </si>
  <si>
    <t xml:space="preserve">Đơn vị thi công: ERPCloud.vn	</t>
  </si>
  <si>
    <t>Địa chỉ:</t>
  </si>
  <si>
    <t xml:space="preserve">Địa chỉ: 238/12 Lê Văn Quới, Bình Hưng Hoà A, Bình Tân, TPHCM			</t>
  </si>
  <si>
    <t>Số điện thoại:</t>
  </si>
  <si>
    <t>Tính năng của hệ thống phần mềm</t>
  </si>
  <si>
    <t>Khách hàng chọn</t>
  </si>
  <si>
    <t>Có</t>
  </si>
  <si>
    <t>Không</t>
  </si>
  <si>
    <t>I. PHÂN HỆ POS-ĐIỂM BÁN LẺ</t>
  </si>
  <si>
    <t>□</t>
  </si>
  <si>
    <t>Thiết lập nhiều tính năng điểm bán lẻ</t>
  </si>
  <si>
    <t>Tạo các điểm bán lẻ</t>
  </si>
  <si>
    <t>Tạo sơ đồ sàn các khu vực</t>
  </si>
  <si>
    <t>Tạo các nhóm sản phẩm có bán trong pos</t>
  </si>
  <si>
    <t>Tạo phương thức thanh toán trong pos</t>
  </si>
  <si>
    <t>Tạo phân quyền linh hoạt</t>
  </si>
  <si>
    <t>Tích hợp đầy đủ tính năng bán lẻ thông minh tại cửa hàng</t>
  </si>
  <si>
    <t>Tìm sản phẩm theo nhóm pos</t>
  </si>
  <si>
    <t>Công cụ tìm kiếm theo tên hoặc mã sản phẩm</t>
  </si>
  <si>
    <t>Bán hàng nhanh chóng thông qua máy quét mã vạch</t>
  </si>
  <si>
    <t>Tạo và quản lý khách hàng nhanh chóng</t>
  </si>
  <si>
    <t>Chương trình khuyển mãi, tích điểm, đổi quà:</t>
  </si>
  <si>
    <t>Phần mềm có tính năng thiết lập sẵn chính sách khuyến mãi (đồng giá, giá cố định, giảm theo % từng món) và có thời gian hiệu lực cho chương trình</t>
  </si>
  <si>
    <t>Thao tác nhập thanh toán nhanh</t>
  </si>
  <si>
    <t>In bill nhanh tại quầy</t>
  </si>
  <si>
    <t>Kiểm soát tiền mặt đầu ca, trong ca và kết thúc ca</t>
  </si>
  <si>
    <t>Báo cáo linh động</t>
  </si>
  <si>
    <t>Pos Order Note</t>
  </si>
  <si>
    <t>Ghi chú tùy chọn cho sản phẩm trên đơn hàng in ra giấy</t>
  </si>
  <si>
    <t>Pos Order History &amp; Re-Order</t>
  </si>
  <si>
    <t xml:space="preserve">Xem Lịch sử đơn hàng </t>
  </si>
  <si>
    <t>POS cho nhiều cửa hàng</t>
  </si>
  <si>
    <t>Thiết lập cho nhiều cửa hàng , mỗi cửa hàng được bán sản phẩm quy định</t>
  </si>
  <si>
    <t>Chương trình khuyến mại cơ bản POS</t>
  </si>
  <si>
    <t>" Áp dụng cho 1 sản phẩm, nhóm sản phẩm, toàn bộ sản phẩm,Xây dựng chương trình khuyến mại (
-Tặng quà
-Giảm giá sản phẩm
-Giảm giá theo hóa đơn 
- Mua m tặng n )"</t>
  </si>
  <si>
    <t>POS Gift Voucher</t>
  </si>
  <si>
    <t>Phát hành phiếu quà tặng</t>
  </si>
  <si>
    <t>POS Multi Pricelist</t>
  </si>
  <si>
    <t>Thiết lập bảng giá cho từng cửa hàng</t>
  </si>
  <si>
    <t>POS Point Redemption</t>
  </si>
  <si>
    <t>Điểm thưởng điểm POS</t>
  </si>
  <si>
    <t xml:space="preserve">Thiết lập </t>
  </si>
  <si>
    <t>Phân quyền theo yêu cầu</t>
  </si>
  <si>
    <t>Quản lý doanh số: theo cửa hàng, theo ngày tháng giờ giấc, theo nhân viên, theo hàng hóa</t>
  </si>
  <si>
    <t>Kết phiên trên POS</t>
  </si>
  <si>
    <t>Định mức nguyên vật liệu cho sản phẩm</t>
  </si>
  <si>
    <t>Thiết lập nhiều kho cho hệ thống</t>
  </si>
  <si>
    <t>Đặt lịch</t>
  </si>
  <si>
    <t>Liên kết bán hàng, cho phép đặt lịch cho khách.</t>
  </si>
  <si>
    <t>BẢNG DANH SÁCH TÍNH NĂNG 
HỆ THỐNG ERPCLOUD ODOO</t>
  </si>
  <si>
    <r>
      <rPr>
        <rFont val="Times New Roman"/>
        <b/>
        <color theme="1"/>
        <sz val="12.0"/>
      </rPr>
      <t xml:space="preserve">CÔNG TY TNHH TIN HỌC VÀ CÔNG NGHỆ THÔNG TIN ĐỊA LÝ ITGIS
</t>
    </r>
    <r>
      <rPr>
        <rFont val="Times New Roman"/>
        <color theme="1"/>
        <sz val="12.0"/>
      </rPr>
      <t>VP: 238/12 Lê Văn Qưới, Bình Hưng Hoà ,TP.Hồ Chí Minh
 Web: erpcloud.vn | info@erpcloud.vn
                                                                    Hotline:0907088139</t>
    </r>
  </si>
  <si>
    <t>Tính năng của hệ thống App bán hàng</t>
  </si>
  <si>
    <t>MÔ TẢ CHI TIẾT PHÂN HỆ</t>
  </si>
  <si>
    <t>PHÂN HỆ CRM (QUAN HỆ KHÁCH HÀNG)</t>
  </si>
  <si>
    <t>Quản lý Cơ hội Kinh doanh (Leads/Opportunities)</t>
  </si>
  <si>
    <t>- Theo dõi khách hàng tiềm năng và các cơ hội bán hàng (ví dụ: Dự án Xây dựng Y) qua các giai đoạn (Tiếp cận, Đề xuất, Đàm phán).</t>
  </si>
  <si>
    <t>Lịch sử Tương tác</t>
  </si>
  <si>
    <t>- Ghi lại toàn bộ lịch sử giao tiếp (cuộc gọi, email, họp) với khách hàng/đối tác cho từng Cơ hội, đảm bảo thông tin không bị thất lạc.</t>
  </si>
  <si>
    <t>Quản lý Đại diện/Người liên hệ</t>
  </si>
  <si>
    <t>- Lưu trữ thông tin chi tiết về các bên liên quan tại công ty khách hàng (Trưởng phòng mua hàng, Giám đốc dự án, Kế toán).</t>
  </si>
  <si>
    <t>Dự báo Doanh số</t>
  </si>
  <si>
    <t>- Dự báo doanh số dựa trên giá trị và xác suất thắng thầu của các cơ hội đang mở.</t>
  </si>
  <si>
    <t>Chuyển đổi sang Hợp đồng/Dự án</t>
  </si>
  <si>
    <t>- Tạo quy trình chuyển đổi liền mạch từ Cơ hội thành Đơn hàng Bán (SO) và Dự án (Project).</t>
  </si>
  <si>
    <t>Quản lý Hoạt động</t>
  </si>
  <si>
    <t>- Lập kế hoạch và theo dõi các hoạt động tiếp theo (ví dụ: hẹn gặp, gửi báo giá, theo dõi phản hồi) liên quan đến cơ hội kinh doanh bê tông.</t>
  </si>
  <si>
    <t>PHÂN HỆ SALE (BÁN HÀNG)</t>
  </si>
  <si>
    <t>Quản lý Khách hàng</t>
  </si>
  <si>
    <t>- Ghi nhận thông tin chi tiết của khách hàng, phân loại theo đối tượng (Công ty xây dựng, Chủ đầu tư, v.v.).</t>
  </si>
  <si>
    <t>Quản lý Công trình/Dự án</t>
  </si>
  <si>
    <t>- Liên kết mỗi Đơn hàng Bán (SO) với một Công trình/Dự án cụ thể.</t>
  </si>
  <si>
    <t>Danh mục Sản phẩm Bê tông</t>
  </si>
  <si>
    <t>- Thiết lập các sản phẩm bê tông (theo Mác, loại hình) với đơn vị tính là m3</t>
  </si>
  <si>
    <t>Tạo Đơn hàng Bán (SO)</t>
  </si>
  <si>
    <t>- Ghi nhận chi tiết đơn hàng cho một công trình cụ thể, bao gồm Mác bê tông và Tổng khối lượng Hợp đồng</t>
  </si>
  <si>
    <t>Tính năng Tùy chỉnh: Lưu trữ Địa chỉ &amp; Tọa độ Xả</t>
  </si>
  <si>
    <t>- Bổ sung trường tùy chỉnh trên SO để ghi nhận Địa chỉ điểm xả chính xác và Tọa độ GPS (ví dụ: gửi định vị qua Zalo).</t>
  </si>
  <si>
    <t>Liên kết Lệnh Vận chuyển/SX</t>
  </si>
  <si>
    <t>- SO phải liên kết chặt chẽ với các Lệnh Sản xuất (MO) và Lệnh Vận chuyển/Giao hàng phát sinh.</t>
  </si>
  <si>
    <t>Theo dõi Hợp đồng</t>
  </si>
  <si>
    <t>- Tự động tính toán trên SO: Khối lượng Hợp đồng (Quota), Khối lượng Đã Giao Thực Tế, và Khối lượng Còn Lại.</t>
  </si>
  <si>
    <t>Cơ chế Cảnh báo Vượt Hợp đồng</t>
  </si>
  <si>
    <t>- Thiết lập cảnh báo hoặc khóa (Blocking) quy trình tạo Lệnh Sản xuất nếu tổng khối lượng đã giao/đã lên kế hoạch vượt quá Khối lượng Hợp đồng.</t>
  </si>
  <si>
    <t>Cập nhật Tự động Khối lượng Giao</t>
  </si>
  <si>
    <t>- Khối lượng Đã Giao Thực Tế phải được cập nhật tự động từ dữ liệu Giao hàng để đảm bảo Quota luôn được theo dõi theo thời gian thực.</t>
  </si>
  <si>
    <t>Xác nhận Vị trí Xả</t>
  </si>
  <si>
    <t>- Quy trình/trạng thái xác nhận trong SO: Bộ phận Theo dõi/Điều phối sẽ xác định vị trí trên bản đồ và yêu cầu bộ phận cung cấp xác nhận qua mail kèm hình ảnh định vị trên MAP.</t>
  </si>
  <si>
    <t>Lưu trữ thông tin bán hàng (hồ sơ)</t>
  </si>
  <si>
    <t>- Ghi nhận rõ ràng bộ phận chịu trách nhiệm (Bộ phận Cung cấp/Kinh doanh) nếu vị trí đã xác nhận chính xác nhưng xe vẫn đổ sai.</t>
  </si>
  <si>
    <t>Phân quyền Truy cập</t>
  </si>
  <si>
    <t>- Phân quyền truy cập và chỉnh sửa SO/Quota rõ ràng giữa các bộ phận (Kinh doanh, Điều phối, Kế toán).</t>
  </si>
  <si>
    <t>PHÂN HỆ DỰ ÁN (PROJECT)</t>
  </si>
  <si>
    <t>Quản lý Danh mục Dự án/Công trình</t>
  </si>
  <si>
    <t>- Thiết lập và quản lý từng Công trình/Dự án riêng biệt. Mỗi dự án là một trung tâm để tổng hợp mọi hoạt động liên quan đến bê tông (kế hoạch, sản xuất, giao hàng).</t>
  </si>
  <si>
    <t xml:space="preserve">Nhóm và Liên kết Tài liệu </t>
  </si>
  <si>
    <t>- Tự động nhóm tất cả các Đơn hàng Bán (SO), Lệnh Sản xuất Bê tông (MO), và các bản ghi Vi phạm phát sinh lại dưới một Dự án duy nhất.</t>
  </si>
  <si>
    <t>Tổng quan Hợp đồng và Tiến độ</t>
  </si>
  <si>
    <t>- Hiển thị Tổng Khối lượng Hợp đồng của tất cả SO liên quan đến dự án, cùng với Tổng Khối lượng Đã Giao để theo dõi tỷ lệ hoàn thành.</t>
  </si>
  <si>
    <t>Cấu trúc Công việc</t>
  </si>
  <si>
    <t>- Định nghĩa các giai đoạn công việc cấp cao của dự án (ví dụ: Giai đoạn Chuẩn bị, Giai đoạn Đổ Móng, Giai đoạn Đổ Tầng X). Giúp quản lý kế hoạch giao hàng theo từng phần của công trình.</t>
  </si>
  <si>
    <t xml:space="preserve">Theo dõi Nguồn lực </t>
  </si>
  <si>
    <t>- Ghi nhận các nguồn lực chính được phân bổ cho dự án, bao gồm các Trạm trộn chính tham gia cung cấp bê tông cho công trình đó.</t>
  </si>
  <si>
    <t xml:space="preserve">Báo cáo Tiến độ Cấp cao </t>
  </si>
  <si>
    <t>- Tỷ lệ Hoàn thành Dự án: Dựa trên khối lượng bê tông đã cung cấp so với tổng Quota.
- Tổng chi phí và Doanh thu: Tích hợp dữ liệu Kế toán để xem hiệu quả tài chính của dự án.
- Danh sách Vi phạm Vận tải: Tổng hợp các trường hợp dừng đỗ bất thường của các chuyến xe phục vụ dự án này, giúp đánh giá rủi ro vận hành.</t>
  </si>
  <si>
    <t>PHÂN HỆ KHO (INVENTORY)</t>
  </si>
  <si>
    <t>Quản lý Danh mục Vật tư</t>
  </si>
  <si>
    <t>- Thiết lập danh mục chi tiết cho các NVL chính (Xi măng, Cát, Đá 1x2, Đá 4x6, Phụ gia...) và các loại bê tông thành phẩm. Chuẩn hóa Mã vật tư để khớp với định danh trong ACS và Bmes.</t>
  </si>
  <si>
    <t>Đơn vị Tính (UoM)</t>
  </si>
  <si>
    <t>- Thiết lập và quản lý các đơn vị tính, đặc biệt là chuyển đổi giữa các đơn vị (ví dụ: tấn → kg → m3).</t>
  </si>
  <si>
    <t xml:space="preserve">Theo dõi Tồn kho Theo Trạm Trộn </t>
  </si>
  <si>
    <t>- Quản lý tồn kho chi tiết tại từng vị trí kho/silo của các Trạm trộn khác nhau.</t>
  </si>
  <si>
    <t xml:space="preserve">Quản lý Vận hành Kho </t>
  </si>
  <si>
    <t>- Ghi nhận các hoạt động nhập kho (nhận hàng từ nhà cung cấp), xuất kho (cấp phát cho sản xuất), và điều chỉnh tồn kho.</t>
  </si>
  <si>
    <t>Đánh giá Tồn kho &amp; Định giá</t>
  </si>
  <si>
    <t>- Tính toán giá trị tồn kho theo các phương pháp định giá (ví dụ: FIFO, Average Cost). Giá trị này sẽ ảnh hưởng trực tiếp đến việc tính Giá thành Mẻ trộn trong phân hệ Kế toán.</t>
  </si>
  <si>
    <t>PHÂN HỆ MUA HÀNG (PURCHASING)</t>
  </si>
  <si>
    <t>Quản lý Nhà cung cấp</t>
  </si>
  <si>
    <t>- Ghi nhận thông tin chi tiết, điều khoản thanh toán, và lịch sử giao dịch với các nhà cung cấp NVL.</t>
  </si>
  <si>
    <t>Tạo Yêu cầu Báo giá (RFQ)</t>
  </si>
  <si>
    <t>- Gửi yêu cầu báo giá đến nhiều nhà cung cấp cho các NVL cần mua.</t>
  </si>
  <si>
    <t>Tạo Đơn hàng Mua (PO)</t>
  </si>
  <si>
    <t>- Chuyển đổi RFQ thành PO, ghi nhận chi tiết về số lượng đặt mua, đơn giá, và ngày giao hàng dự kiến.</t>
  </si>
  <si>
    <t>Quản lý Hợp đồng Mua hàng</t>
  </si>
  <si>
    <t>- Theo dõi các hợp đồng mua hàng dài hạn với các điều khoản đặc biệt (giá cố định, số lượng tối thiểu, v.v.).</t>
  </si>
  <si>
    <t>Ghi nhận Khối lượng Thực nhận</t>
  </si>
  <si>
    <t>- Phiếu nhập kho (Receipt) phải có khả năng ghi nhận khối lượng thực tế được cân tại trạm cân.</t>
  </si>
  <si>
    <t>Tích hợp Dữ liệu Cân ACS (Tùy chỉnh)</t>
  </si>
  <si>
    <t>- Phát triển module để tự động hoặc bán tự động nhận dữ liệu cân (khối lượng, thời gian, loại vật tư) từ ACS (qua API hoặc Excel File) và gán dữ liệu này vào phiếu nhập kho.</t>
  </si>
  <si>
    <t>Tính năng Đối chiếu Tự động (Discrepancy Check)</t>
  </si>
  <si>
    <t>- Tự động so sánh: Khối lượng Đặt mua (PO) → Khối lượng Thực nhận (ACS). Nếu chênh lệch vượt quá một ngưỡng cho phép (ví dụ: ±0.5%), hệ thống sẽ tự động tạo cảnh báo hoặc yêu cầu xác nhận.</t>
  </si>
  <si>
    <t>Quản lý Chất lượng Đầu vào (QC)</t>
  </si>
  <si>
    <t>- Kích hoạt điểm kiểm tra chất lượng (QC Check) ngay tại bước nhập kho để kiểm tra chất lượng NVL trước khi đưa vào sản xuất.</t>
  </si>
  <si>
    <t>Báo cáo Chênh lệch Khối lượng</t>
  </si>
  <si>
    <t>- Báo cáo tổng hợp các trường hợp chênh lệch giữa khối lượng đặt mua và khối lượng thực nhận (từ ACS) theo nhà cung cấp và theo loại vật tư.</t>
  </si>
  <si>
    <t>Phân tích Chi phí Mua hàng</t>
  </si>
  <si>
    <t>- Theo dõi chi phí mua hàng theo thời gian và so sánh giá mua thực tế với giá trung bình/tiêu chuẩn.</t>
  </si>
  <si>
    <t>Quản lý Chứng từ</t>
  </si>
  <si>
    <t>- Đính kèm các chứng từ liên quan như phiếu cân, hóa đơn, biên bản kiểm tra chất lượng vào Đơn hàng Mua.</t>
  </si>
  <si>
    <t>PHÂN HỆ KẾ TOÁN (ACCOUNTING)</t>
  </si>
  <si>
    <t>Sổ cái &amp; Chứng từ</t>
  </si>
  <si>
    <t>- Quản lý hệ thống tài khoản kế toán, ghi nhận các giao dịch tài chính (thu, chi, kết chuyển) theo chuẩn mực.</t>
  </si>
  <si>
    <t>Quản lý Thuế</t>
  </si>
  <si>
    <t>- Tự động tính toán thuế GTGT (VAT) đầu vào và đầu ra dựa trên các giao dịch mua bán.</t>
  </si>
  <si>
    <t>Báo cáo Tài chính</t>
  </si>
  <si>
    <t>- Lập các báo cáo Bảng Cân đối Kế toán, Báo cáo Kết quả Hoạt động Kinh doanh, Báo cáo Lưu chuyển Tiền tệ.</t>
  </si>
  <si>
    <t>Ngân sách (Budgeting)</t>
  </si>
  <si>
    <t>- (Nếu cần) Theo dõi và kiểm soát chi phí so với ngân sách đã duyệt cho từng bộ phận hoặc trạm trộn.</t>
  </si>
  <si>
    <t>Quản lý Công nợ Khách hàng (AR)</t>
  </si>
  <si>
    <t>- Ghi nhận doanh thu và theo dõi chi tiết các khoản phải thu từ khách hàng, dựa trên khối lượng bê tông đã giao và được xác nhận (từ Sales/Logistics).</t>
  </si>
  <si>
    <t>Quản lý Công nợ Nhà cung cấp (AP)</t>
  </si>
  <si>
    <t>- Quản lý các khoản phải trả cho nhà cung cấp Nguyên vật liệu, đối chiếu với dữ liệu mua hàng và nhập kho.</t>
  </si>
  <si>
    <t>Tính năng Tùy chỉnh: Công nợ theo Dự án/Công trình</t>
  </si>
  <si>
    <t>- Liên kết chặt chẽ Công nợ với từng Dự án/Công trình (từ phân hệ Project) để dễ dàng rà soát và đối chiếu thanh toán theo tiến độ của dự án.</t>
  </si>
  <si>
    <t>Phương pháp Tính Giá thành</t>
  </si>
  <si>
    <t>- Thiết lập phương pháp tính giá thành (ví dụ: Giá thành Bình quân, FIFO) cho Nguyên vật liệu đầu vào (Inventory Costing).</t>
  </si>
  <si>
    <t>Tích hợp Giá thành Mẻ trộn (Batch Costing)</t>
  </si>
  <si>
    <t>- Tùy chỉnh sâu: Tự động lấy dữ liệu Tiêu hao NVL Thực tế (từ Bmes/tích hợp) và các Chi phí khác (như nhân công, khấu hao trạm trộn, chi phí vận chuyển) để tính ra Giá thành Thực tế của từng mẻ bê tông đã sản xuất.</t>
  </si>
  <si>
    <t>Đối chiếu Định mức vs Thực tế</t>
  </si>
  <si>
    <t>- Xây dựng báo cáo tự động so sánh Giá thành Tiêu chuẩn (dựa trên định mức BOM) với Giá thành Thực tế (dựa trên dữ liệu Bmes) để phân tích chênh lệch chi phí vật tư.</t>
  </si>
  <si>
    <t>Phân bổ Chi phí Vận tải</t>
  </si>
  <si>
    <t>- (Tùy chọn) Phân bổ chi phí vận tải (dựa trên dữ liệu EUP/Logistics) vào giá thành của từng đơn hàng/công trình để tính toán lợi nhuận gộp chính xác hơn.</t>
  </si>
  <si>
    <t>PHÂN HỆ SẢN XUẤT (MANUFACTURING)</t>
  </si>
  <si>
    <t>Quản lý Công thức (Bill of Materials - BOM)</t>
  </si>
  <si>
    <t>- Thiết lập các BOM chi tiết cho từng Mác bê tông và loại bê tông đặc thù (Sulfat, cường độ cao, v.v.). BOM chứa định mức tiêu chuẩn của Nguyên vật liệu (NVL).</t>
  </si>
  <si>
    <t>Tạo Lệnh Sản xuất (Manufacturing Orders - MO)</t>
  </si>
  <si>
    <t>- Điều phối viên tạo MO theo yêu cầu cung cấp hàng ngày, gắn MO với Đơn hàng Bán (SO) và Công trình tương ứng.</t>
  </si>
  <si>
    <t>Lệnh Sản xuất Chi tiết</t>
  </si>
  <si>
    <t>- Mỗi MO cần ghi rõ: Sản phẩm (Mác bê tông), Khối lượng yêu cầu (m3), và Trạm trộn thực hiện.</t>
  </si>
  <si>
    <t>Ghi nhận Tiêu hao NVL</t>
  </si>
  <si>
    <t>- Theo dõi việc cấp phát NVL từ kho cho sản xuất (theo định mức BOM).</t>
  </si>
  <si>
    <t>Kiểm tra Quota Tự động</t>
  </si>
  <si>
    <t>- Khi tạo/xác nhận MO, hệ thống Odoo phải tự động kiểm tra: Khối lượng yêu cầu trong MO ≤ Khối lượng còn lại của Hợp đồng/Quota (trên SO).</t>
  </si>
  <si>
    <t>Cơ chế Khóa Lệnh Sản xuất (MO Blocking)</t>
  </si>
  <si>
    <t>- Nếu Khối lượng yêu cầu vượt quá Quota còn lại, Odoo phải khóa (block) MO và yêu cầu xác nhận/phê duyệt từ cấp quản lý trước khi cấp lệnh cho trạm trộn.</t>
  </si>
  <si>
    <t>Gửi Lệnh Đã Cấp phép đến Bmes</t>
  </si>
  <si>
    <t>- Sau khi kiểm tra và phê duyệt, sẽ gửi tín hiệu/lệnh sản xuất đã cấp phép (bao gồm khối lượng tối đa được phép trộn) sang phần mềm trộn Bmes.</t>
  </si>
  <si>
    <t>Đồng bộ Dữ liệu Sản lượng Thực tế</t>
  </si>
  <si>
    <t>- ERPCloud nhận dữ liệu Sản lượng đã trộn thực tế và Tiêu hao NVL thực tế theo từng mẻ từ Bmes (qua API hoặc script/Excel) để tự động đóng/cập nhật MO.</t>
  </si>
  <si>
    <t>Thiết lập Mẫu QC (QC Plans)</t>
  </si>
  <si>
    <t>- Định nghĩa các mẫu kiểm tra chất lượng bắt buộc cho bê tông, bao gồm cường độ và độ sụt.</t>
  </si>
  <si>
    <t>Gắn QC vào Lệnh Sản xuất</t>
  </si>
  <si>
    <t>- Tự động tạo điểm kiểm tra QC cho mỗi MO hoặc mẻ trộn. Ghi nhận chi tiết kết quả thử mẫu và liên kết kết quả đó với MO, Khách hàng, và Công trình.</t>
  </si>
  <si>
    <t xml:space="preserve">Theo dõi Mẻ trộn </t>
  </si>
  <si>
    <t>- Khả năng theo dõi chi tiết thông tin mẻ trộn và link trực tiếp đến dữ liệu tiêu hao thực tế từ Bmes.</t>
  </si>
  <si>
    <t>Cảnh báo Chất lượng</t>
  </si>
  <si>
    <t>- Tự động cảnh báo nếu kết quả QC không đạt tiêu chuẩn, có thể tạm giữ lệnh giao hàng nếu cần.</t>
  </si>
  <si>
    <t xml:space="preserve">PHÂN HỆ GIAO HÀNG (LOGISTIC/DELIVERY)   </t>
  </si>
  <si>
    <t>Tạo Lệnh Vận chuyển/Giao hàng (Delivery Order)</t>
  </si>
  <si>
    <t>- Tạo phiếu giao hàng/xuất kho dựa trên Lệnh Sản xuất (MO) và Đơn hàng Kế hoạch (SO). Phiếu này ghi nhận: Biển số xe, Tên tài xế, Khối lượng bê tông (theo mẻ trộn).</t>
  </si>
  <si>
    <t>Gắn thông tin Công trình/Vị trí</t>
  </si>
  <si>
    <t>- Tự động lấy Địa chỉ &amp; Tọa độ điểm xả chính xác từ Đơn hàng Bán (SO) và gắn vào phiếu giao hàng để làm căn cứ theo dõi.</t>
  </si>
  <si>
    <t>Quản lý Đội xe &amp; Tài xế</t>
  </si>
  <si>
    <t>- Quản lý danh sách xe bồn, tình trạng sẵn có, và phân công tài xế cho từng chuyến.</t>
  </si>
  <si>
    <t>Ghi nhận Chứng từ Giao nhận</t>
  </si>
  <si>
    <t>- Lưu trữ và đính kèm các chứng từ giao nhận (phiếu giao hàng, biên bản xác nhận khối lượng tại công trình).</t>
  </si>
  <si>
    <t>Đồng bộ Dữ liệu Hành trình</t>
  </si>
  <si>
    <t>- Cập nhật tự động thông tin hành trình xe (thời gian xuất phát, thời gian đến/rời vùng xả) vào phiếu giao hàng.</t>
  </si>
  <si>
    <t>Đối chiếu Khối lượng Thực tế</t>
  </si>
  <si>
    <t>- Khối lượng trên phiếu giao hàng được cập nhật tự động từ dữ liệu Sản lượng/Mẻ trộn thực tế (từ Bmes).</t>
  </si>
  <si>
    <t>Theo dõi Tiến độ Vận chuyển</t>
  </si>
  <si>
    <t>- Cung cấp trạng thái theo thời gian thực của chuyến xe (Đang chờ trộn, Đang vận chuyển, Đã tới điểm xả, Đã hoàn thành).</t>
  </si>
  <si>
    <t>PHÂN HỆ NHÂN SỰ HRM</t>
  </si>
  <si>
    <t>Quản lý Hồ sơ Nhân viên</t>
  </si>
  <si>
    <t>Lưu trữ thông tin chi tiết (hợp đồng, vị trí, chức danh, lương cơ bản) của toàn bộ nhân viên, tập trung vào Tài xế, Điều phối viên, Trưởng trạm (các vị trí liên quan trực tiếp đến quy trình kiểm soát vi phạm).</t>
  </si>
  <si>
    <t>Quản lý Chấm công &amp; Nghỉ phép</t>
  </si>
  <si>
    <t>Theo dõi giờ làm việc thực tế, thời gian đi/đến (nếu có tích hợp máy chấm công) và quản lý các đơn xin nghỉ phép của nhân viên.</t>
  </si>
  <si>
    <t>Tính lương &amp; Phúc lợi (Payroll)</t>
  </si>
  <si>
    <t>Xử lý việc tính toán lương hàng tháng, bao gồm lương cơ bản, phụ cấp, và đặc biệt là tính toán thưởng/phạt dựa trên kết quả đánh giá KPI và các bản ghi vi phạm.</t>
  </si>
  <si>
    <t>Quản lý Hợp đồng Lao động</t>
  </si>
  <si>
    <t>Theo dõi thời hạn, điều khoản của hợp đồng nhân viên, tự động cảnh báo khi hợp đồng sắp hết hạn.</t>
  </si>
  <si>
    <t>Quản lý Giải trình Vi phạm</t>
  </si>
  <si>
    <t>Ghi lại quá trình và kết quả giải trình của nhân viên đối với các cảnh báo vi phạm.</t>
  </si>
  <si>
    <t>Đánh giá Hiệu suất (KPI)</t>
  </si>
  <si>
    <t>Theo dõi hiệu suất làm việc định kỳ, kết hợp với các chỉ số vận hành chính.</t>
  </si>
  <si>
    <t>1.10</t>
  </si>
  <si>
    <t>PHÂN HỆ DASHBOARD BÁO CÁO</t>
  </si>
  <si>
    <t>Báo cáo quan hệ khách hàng</t>
  </si>
  <si>
    <t>- Báo cáo Hiệu suất Bán hàng, Quản lý Dự báo &amp; Dự án Tiềm năng, Hoạt động CRM</t>
  </si>
  <si>
    <t>Báo cáo bán hàng</t>
  </si>
  <si>
    <t>- Báo cáo Kiểm soát Hợp đồng, Phân tích Khách hàng và Doanh số, Chi tiết Giao dịch</t>
  </si>
  <si>
    <t>Báo cáo dự án</t>
  </si>
  <si>
    <t>- Báo cáo Tiến độ Hoàn thành Công trình, Tổng hợp Giao dịch Dự án, Phân tích Rủi ro Dự án (Vi phạm Vận tải), Hiệu suất Tài chính Dự án, Tồn sản lượng hợp đồng Theo Dự án, Sử dụng Nguyên vật liệu Theo Dự án</t>
  </si>
  <si>
    <t>Báo cáo kho</t>
  </si>
  <si>
    <t>- Báo cáo Tồn kho &amp; Định giá, Kiểm soát Nhập/Xuất/Tồn kho và Chất lượng, Phân tích Chu kỳ Kho</t>
  </si>
  <si>
    <t>Báo cáo mua hàng</t>
  </si>
  <si>
    <t>- Báo cáo Đối chiếu Khối lượng &amp; Giá trị, Quản lý Nhà cung cấp và Hợp đồng, Dự báo và Lập kế hoạch Mua hàng</t>
  </si>
  <si>
    <t>Báo cáo kế toán</t>
  </si>
  <si>
    <t>- Báo cáo Giá thành và Chi phí, Công nợ và Doanh thu, Bảng Cân đối Kế toán, Báo cáo Kết quả Hoạt động Kinh doanh (P&amp;L), Báo cáo Lưu chuyển Tiền tệ, Sổ cái, Sổ chi tiết</t>
  </si>
  <si>
    <t>Báo cáo sản xuất</t>
  </si>
  <si>
    <t>- Báo cáo Kiểm soát Sản lượng &amp; Hợp đồng, Tiêu hao Nguyên vật liệu (NVL), Kiểm soát Chất lượng (QC)</t>
  </si>
  <si>
    <t>Báo cáo giao hàng</t>
  </si>
  <si>
    <t>- Báo cáo Theo dõi Hành trình &amp; Tiến độ, Trạng thái giao hàng, Giao nhận và Chứng từ</t>
  </si>
  <si>
    <t>1.11</t>
  </si>
  <si>
    <t>TÍCH HỢP API ĐƠN VỊ THỨ 3</t>
  </si>
  <si>
    <t>Tích hợp với EUP (Quản lý Vận tải &amp; GPS)</t>
  </si>
  <si>
    <t>- Thông tin Chuyến xe: Biển số xe, Thời gian xuất phát, Thời gian đến/rời vùng. 2. Sự kiện Vận tải: Cảnh báo Dừng đỗ bất thường, Thoát vùng Geofence, Mất sóng GPS (nghi ngờ phá sóng).
- Tự động cập nhật các bản ghi Lệnh Giao hàng</t>
  </si>
  <si>
    <t>Tích hợp với Bmes (Phần mềm Trộn Bê tông)</t>
  </si>
  <si>
    <t>- Đầu ra (Output): Sản lượng Bê tông Thực tế (theo m3 và số mẻ) theo từng xe/lệnh. 
- Tiêu hao (Consumption): Khối lượng NVL Thực tế đã tiêu hao cho từng mẻ trộn.
- Cập nhật Lệnh Sản xuất (MO) và cung cấp dữ liệu Tiêu hao Thực tế cho Kế toán để tính Giá thành.</t>
  </si>
  <si>
    <t>Tích hợp với ACS (Phần mềm Cân Nguyên vật liệu Đầu vào)</t>
  </si>
  <si>
    <t>- Khối lượng Thực nhận: Khối lượng Nguyên vật liệu đã được cân thực tế (theo từng lần nhập/theo chuyến xe vận chuyển NVL). 
- Thông tin Chi tiết: Loại vật tư, Thời gian cân.
- Dữ liệu được dùng để tạo phiếu nhập kho và đối chiếu với Khối lượng Đặt mua (PO).</t>
  </si>
  <si>
    <t>Tích hợp với Fast (Hệ thống Kế toán/ERP Cũ)</t>
  </si>
  <si>
    <t>- Dữ liệu Gốc (Master Data): Dữ liệu Khách hàng, Công trình, và Hợp đồng lịch sử cần được chuyển đổi sang Odoo để đảm bảo tính liên tục của hệ thống.</t>
  </si>
  <si>
    <t>Mã biểu mẫu: DSTN
Lần ban hành: 01
Ngày hiệu lực: 01/01/2020
Trang:1/1</t>
  </si>
  <si>
    <t>Ngày hiệu lực: 01/01/2020</t>
  </si>
  <si>
    <t>Trang:1/1</t>
  </si>
  <si>
    <t>IV. PHÂN HỆ CHUỖI CUNG ỨNG DMS</t>
  </si>
  <si>
    <t>Quản lý tuyến bán hàng</t>
  </si>
  <si>
    <t xml:space="preserve"> Phân tuyến bán hàng</t>
  </si>
  <si>
    <t>Quản lý lộ trình đi tuyến của nhân viên bán hàng</t>
  </si>
  <si>
    <t>Tối ưu hóa tuyến bán hàng</t>
  </si>
  <si>
    <t>Hỗ trợ nhân viên bán hàng đi tuyến</t>
  </si>
  <si>
    <t>Tự động hóa bán hàng trên điện thoại di động</t>
  </si>
  <si>
    <t>Tự động gửi mã khuyễn mãi, sự kiện, sinh nhật cho khách hàng</t>
  </si>
  <si>
    <t>Tự động gợi ý chương trình khuyến mại phù hợp</t>
  </si>
  <si>
    <t>Hỗ trợ nhân viên bán hàng ngoài thị trường</t>
  </si>
  <si>
    <t>Cập nhật thông tin đầu ngày</t>
  </si>
  <si>
    <t>Tạo điểm bán mới cho điểm bán lẻ outlet</t>
  </si>
  <si>
    <t>Xác nhận bán hàng, tích điểm, quy đổi điểm cho khách hàng</t>
  </si>
  <si>
    <t xml:space="preserve">Tự động lấy địa chỉ của khách hàng </t>
  </si>
  <si>
    <t>Đặt lại đơn hàng mà khách hàng đã mua</t>
  </si>
  <si>
    <t>Check in khi đặt hàng</t>
  </si>
  <si>
    <t>Tra cứu thông tin điểm bán</t>
  </si>
  <si>
    <t xml:space="preserve">Nhân viên kinh doanh xem được chỉ số bán hàng: Doanh thu, công nợ, tuyến, </t>
  </si>
  <si>
    <t>Hỗ trợ tự động hóa bán hàng tại điểm bán</t>
  </si>
  <si>
    <t>Tự động cảnh báo không phát sinh doanh thu (4 ngày cảnh báo, 7 ngày khoá )</t>
  </si>
  <si>
    <t>Cho nhân viên đặt hàng trong bán kính 200 m (tuỳ theo yêu cầu)</t>
  </si>
  <si>
    <t>Tra cứu kết quả bán hàng</t>
  </si>
  <si>
    <t>Giám sát nhân viên bán hàng trên bản đồ số GPS</t>
  </si>
  <si>
    <t>Giám sát vị trí, thời gian làm việc của nhân viên bán hàng</t>
  </si>
  <si>
    <t>Giám sát hoạt động viếng thăm khách hàng</t>
  </si>
  <si>
    <t>Giám sát hình ảnh điểm bán/ trưng bày hàng hóa</t>
  </si>
  <si>
    <t>Giám sát phương tiện</t>
  </si>
  <si>
    <t>Giám sát khắc phục vấn đề</t>
  </si>
  <si>
    <t>Báo cáo giám sát</t>
  </si>
  <si>
    <t>Quản lý chương trình hỗ trợ bán hàng</t>
  </si>
  <si>
    <t>Thiết lập và quản lý chương trình khuyến mại</t>
  </si>
  <si>
    <t xml:space="preserve"> Quản lý công cụ hỗ trợ bán hàng – POSM</t>
  </si>
  <si>
    <t>Giám sát chương trình trưng bày hàng hóa</t>
  </si>
  <si>
    <t>Chấm điểm trưng bày</t>
  </si>
  <si>
    <t>Quản lý hàng tồn ngoài thị trường</t>
  </si>
  <si>
    <t>Quản lý dòng hàng lưu chuyển bên ngoài thị trường</t>
  </si>
  <si>
    <t xml:space="preserve">Biết chính xác lượng hàng tiêu thụ thực tế ngoài thị trường </t>
  </si>
  <si>
    <t>Kế hoạch khai thác thị trường, kế hoạch sản xuất phù hợp</t>
  </si>
  <si>
    <t>Báo cáo hàng tồn ngoài thị trường theo từng KH</t>
  </si>
  <si>
    <t>Theo dõi ĐỘ PHỦ và THỊ PHẦN trong kênh phân phối</t>
  </si>
  <si>
    <t>Dữ liệu được gửi về liên tục và theo thời gian thực</t>
  </si>
  <si>
    <t>Tiết kiệm thời gian cho các cấp giám sát trong việc làm báo cáo Độ phủ, thị phần</t>
  </si>
  <si>
    <t>Chủ động theo dõi sát sao thị trường</t>
  </si>
  <si>
    <t>Loại bỏ số liệu ảo, tình trạng xào nấu số liệu</t>
  </si>
  <si>
    <t>Quản lý nhà phân phối, điểm bán</t>
  </si>
  <si>
    <t>Quản lý thông tin NPP, điểm bán</t>
  </si>
  <si>
    <t>Cho phép NPP, outlet đặt hàng từ App</t>
  </si>
  <si>
    <t>Quản lý lịch sử mua bán của nhà phân phối, điểm bán</t>
  </si>
  <si>
    <t>Khắc phục vấn đề và hỗ trợ kịp thời</t>
  </si>
  <si>
    <t>IX. APP KHÁCH HÀNG THÂN THIẾT</t>
  </si>
  <si>
    <t>Design UI/UX</t>
  </si>
  <si>
    <t>- Thiết kế giao diện hướng tới trải nghiệm người dùng. 
-Logo , màu sắc, bố cục sản phẩm theo doanh nghiệp</t>
  </si>
  <si>
    <t>Trang chủ</t>
  </si>
  <si>
    <t>- Các khuyến mãi hiện đang áp dụng trên ứng dụng
- Danh sách sản phẩm
- Chọn sản phẩmvào giỏ hàng</t>
  </si>
  <si>
    <t>Quét mã QR</t>
  </si>
  <si>
    <t xml:space="preserve">Quét mã QR hoặc trả về mã code cho KH để tích điểm hoặc đổi thưởng </t>
  </si>
  <si>
    <t>Tìm cửa hàng</t>
  </si>
  <si>
    <t>Tìm cửa hàng gần nhất và vẽ đường đi đến đó từ vị trí hiện tại của người dùng</t>
  </si>
  <si>
    <t>Đánh giá khách hàng</t>
  </si>
  <si>
    <t xml:space="preserve"> Gửi góp ý đến hộp thư công ty</t>
  </si>
  <si>
    <t xml:space="preserve"> Chat với nhân viên chăm sóc khách hàng</t>
  </si>
  <si>
    <t>Đánh giá sản phẩm</t>
  </si>
  <si>
    <t>Đánh giá cửa hàng</t>
  </si>
  <si>
    <t>Bảo hành</t>
  </si>
  <si>
    <t xml:space="preserve"> Cho phép khách hàng gửi yêu cầu đăng ký bảo hành
-Nhập các thông tin bảo hành
-Hiện chi phí nếu hết hạn bảo hành
-Báo giá báo hảnh</t>
  </si>
  <si>
    <t> Đặt lịch
-Cho phép khách đặt lịch hẹn sử dụng dịch vụ 
-Màn hình đặt lịch theo dạng kanban cho phép khách chọn những giờ cửa hàng còn chỗ</t>
  </si>
  <si>
    <t>Giỏ hàng</t>
  </si>
  <si>
    <t xml:space="preserve">- Cập nhật số lượng, thêm bớt sản phẩm trong giỏ hàng 
- Chọn cửa hàng
- Cung cấp mã cho mỗi đơn hàng của khách hàng
- Ghi chú đơn hàng  
- Phương thức thanh toán COD  </t>
  </si>
  <si>
    <t>X. PHÂN HỆ THẢO LUẬN</t>
  </si>
  <si>
    <t>Design</t>
  </si>
  <si>
    <t>Thiết kế giao diện tương thích: Máy tính PC, Mobile, Tablet.
Giao diện thân thiện, tương tác người dùng tốt.
Tương thích với các trình duyệt phổ biến như: Internet Explorer, FireFox, chomre
Thiết kế mỹ thuật và bố trí website.
Tạo ra các đồ họa Web, hình nền hoặc màu nền cho website.
Tối ưu hóa đồ họa để đảm bảo trang web được tải nhanh
Chỉnh sửa, cắt sắn, sửa đổi hoặc điều chỉnh hình ảnh cần thiết.
Mã hóa HTML/ XHTML cấu trúc của trang web và đảm bảo nó theo theo tiêu chuẩn web mới nhất – chuyên nghiệp và hiện đại.</t>
  </si>
  <si>
    <t>• Thiết kế trang chủ với những module chính trong website.
• Những thông tin xuất hiện trên trang chủ phụ thuộc vào sự quyết định của quý công ty. Trong quá trình cập nhật website, các thông tin này có thể là thông tin giới thiệu về công ty, hình ảnh sản phẩm mới hay hình ảnh các dịch vụ khác.</t>
  </si>
  <si>
    <t>Banner động</t>
  </si>
  <si>
    <t>• Thiết kế banner động ấn tượng.
• Lập trình công cụ cho phép quý vị có thể thay đổi những hình ảnh trong banner.
• Những hình ảnh trong banner thể hiện những dịch vụ và sản phẩm của Qúy công ty.</t>
  </si>
  <si>
    <t>Phần giới thiệu</t>
  </si>
  <si>
    <t>Các trang thông tin giới thiệu với tiêu đề, nội dung hoàn toàn theo ý của bạn.
-Giới thiệu về công ty
- Giới thiệu tổng quan ngành nghề - dịch vụ
-Các thành tựu, chứng nhận</t>
  </si>
  <si>
    <t>Phần Sản phẩm:</t>
  </si>
  <si>
    <t>Hiển thị danh sách sản phẩm, phân danh mục sản phẩm theo nhiều cấp, hiển thị chi tiết sản phẩm, nhiều lựa chọn các thuộc tính sản phẩm:
Sản phẩm
• Tên sản phẩm
• Mã sản phẩm
• Nhà sản xuất
• Giá sản phẩm
• Ảnh sản phẩm: ảnh biểu trưng + ảnh phóng to
Phần giới thiệu sản phẩm gồm 2 phần: mô tả ngắn và chi tiết
• Khả năng tùy biến tìm kiếm sản phẩm cao. Có thể kết hợp bình luận đánh giá sản phẩm...
• Quý vị có thể nhập cùng lúc nhiều sản phẩm khác nhau cùng loại nên giảm thiểu thời gian cập nhật dữ liệu và dễ dàng trong việc cập nhật sản phẩm lên web.</t>
  </si>
  <si>
    <t>Tư vấn và hỗ trợ Khách hàng</t>
  </si>
  <si>
    <t>• Quản lý các tài khoản chăm sóc khách hàng trực tuyến, hỗ trợ chatmessenger, zalo, tawk.to cài đặt module này giúp bạn tiếp cận và chăm sóc khách hàng tốt hơn.</t>
  </si>
  <si>
    <t>Trang liên hệ </t>
  </si>
  <si>
    <t>Sẽ chứa các thông tin về Công Ty bạn như số điện thoại, email, các phòng ban,.. ngoài ra cung cấp thêm một form thông tin để khách hàng có thể gửi yêu cầu đến bạn.</t>
  </si>
  <si>
    <t>Phần tin tức và sự kiện </t>
  </si>
  <si>
    <t>Trang tin tức: giới thiệu các sự kiện nổi bật, các thông tin nóng, tin quan trọng.
• Tin trong ngành: trong và ngoài nước.
• Giới thiệu các sự kiện nổi bật.</t>
  </si>
  <si>
    <t>Trang tuyển dụng</t>
  </si>
  <si>
    <t>Công cụ cập nhật thông tin việc làm: 
• Admin của hệ thống có quyền cập nhật, thêm, xóa, chỉnh sửa.</t>
  </si>
  <si>
    <t>10.11</t>
  </si>
  <si>
    <t>Hệ thống phân phối/cửa hàng</t>
  </si>
  <si>
    <t>• Giới thiệu các hệ thống chi nhánh, đại lý cửa hàng của Công Ty. Trình bày dưới dạng hệ thống thông tin ( hình ảnh+ tên cửa hàng, địa chỉ….) cửa hàng được chia theo tỉnh, quận….</t>
  </si>
  <si>
    <t>Hệ thống chung</t>
  </si>
  <si>
    <t>Cho phép đăng ký khách hàng bằng OTP số điện thoại 
Cho phép đăng ký tài khoản bằng gmail, facebook 
Cho phép thanh toán online qua dịch vụ vnpay, momo 
Cho phép mua hàng bằng điểm, nhập mã khuyến mãi. 
Kết nối đơn vị vận chuyển (ghn,vnpost,ghtk)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</si>
</sst>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đ-42A]"/>
    <numFmt numFmtId="165" formatCode="_(* #,##0_);_(* \(#,##0\);_(* &quot;-&quot;_);_(@_)"/>
    <numFmt numFmtId="166" formatCode="_(* #,##0_);_(* \(#,##0\);_(* &quot;-&quot;??_);_(@_)"/>
    <numFmt numFmtId="167" formatCode="d.m"/>
  </numFmts>
  <fonts count="24">
    <font>
      <sz val="12.0"/>
      <color theme="1"/>
      <name val="Times New Roman"/>
      <scheme val="minor"/>
    </font>
    <font>
      <b/>
      <sz val="16.0"/>
      <color theme="1"/>
      <name val="Times New Roman"/>
    </font>
    <font/>
    <font>
      <sz val="12.0"/>
      <color theme="1"/>
      <name val="Times New Roman"/>
    </font>
    <font>
      <sz val="12.0"/>
      <color rgb="FFFFFFFF"/>
      <name val="Times New Roman"/>
    </font>
    <font>
      <sz val="12.0"/>
      <color theme="0"/>
      <name val="Times New Roman"/>
    </font>
    <font>
      <b/>
      <sz val="12.0"/>
      <color theme="1"/>
      <name val="Times New Roman"/>
    </font>
    <font>
      <b/>
      <sz val="12.0"/>
      <color rgb="FF000000"/>
      <name val="Times New Roman"/>
    </font>
    <font>
      <b/>
      <sz val="12.0"/>
      <color rgb="FFFF0000"/>
      <name val="Times New Roman"/>
    </font>
    <font>
      <b/>
      <sz val="20.0"/>
      <color theme="1"/>
      <name val="Times New Roman"/>
    </font>
    <font>
      <sz val="11.0"/>
      <color rgb="FF000000"/>
      <name val="Arial"/>
    </font>
    <font>
      <sz val="17.0"/>
      <color theme="1"/>
      <name val="Times New Roman"/>
    </font>
    <font>
      <b/>
      <sz val="17.0"/>
      <color theme="1"/>
      <name val="Times New Roman"/>
    </font>
    <font>
      <sz val="12.0"/>
      <color rgb="FF000000"/>
      <name val="Times New Roman"/>
    </font>
    <font>
      <b/>
      <sz val="16.0"/>
      <color rgb="FF000000"/>
      <name val="Times New Roman"/>
    </font>
    <font>
      <sz val="10.0"/>
      <color rgb="FF000000"/>
      <name val="Times New Roman"/>
    </font>
    <font>
      <sz val="28.0"/>
      <color rgb="FF000000"/>
      <name val="Times New Roman"/>
    </font>
    <font>
      <b/>
      <sz val="13.0"/>
      <color rgb="FF000000"/>
      <name val="Times New Roman"/>
    </font>
    <font>
      <i/>
      <sz val="12.0"/>
      <color rgb="FF000000"/>
      <name val="Times New Roman"/>
    </font>
    <font>
      <sz val="12.0"/>
      <color rgb="FF000000"/>
      <name val="'Times New Roman'"/>
    </font>
    <font>
      <sz val="10.0"/>
      <color theme="1"/>
      <name val="Times New Roman"/>
    </font>
    <font>
      <sz val="12.0"/>
      <color rgb="FF292B2C"/>
      <name val="Times New Roman"/>
    </font>
    <font>
      <sz val="28.0"/>
      <color theme="1"/>
      <name val="Times New Roman"/>
    </font>
    <font>
      <b/>
      <sz val="28.0"/>
      <color theme="1"/>
      <name val="Times New Roman"/>
    </font>
  </fonts>
  <fills count="11">
    <fill>
      <patternFill patternType="none"/>
    </fill>
    <fill>
      <patternFill patternType="lightGray"/>
    </fill>
    <fill>
      <patternFill patternType="solid">
        <fgColor rgb="FF2E75B5"/>
        <bgColor rgb="FF2E75B5"/>
      </patternFill>
    </fill>
    <fill>
      <patternFill patternType="solid">
        <fgColor rgb="FFC5E0B3"/>
        <bgColor rgb="FFC5E0B3"/>
      </patternFill>
    </fill>
    <fill>
      <patternFill patternType="solid">
        <fgColor rgb="FFA8D08D"/>
        <bgColor rgb="FFA8D08D"/>
      </patternFill>
    </fill>
    <fill>
      <patternFill patternType="solid">
        <fgColor theme="0"/>
        <bgColor theme="0"/>
      </patternFill>
    </fill>
    <fill>
      <patternFill patternType="solid">
        <fgColor rgb="FFFFD965"/>
        <bgColor rgb="FFFFD965"/>
      </patternFill>
    </fill>
    <fill>
      <patternFill patternType="solid">
        <fgColor rgb="FFFBE4D5"/>
        <bgColor rgb="FFFBE4D5"/>
      </patternFill>
    </fill>
    <fill>
      <patternFill patternType="solid">
        <fgColor rgb="FFFFFFFF"/>
        <bgColor rgb="FFFFFFFF"/>
      </patternFill>
    </fill>
    <fill>
      <patternFill patternType="solid">
        <fgColor rgb="FFDEEAF6"/>
        <bgColor rgb="FFDEEAF6"/>
      </patternFill>
    </fill>
    <fill>
      <patternFill patternType="solid">
        <fgColor rgb="FF2F75B5"/>
        <bgColor rgb="FF2F75B5"/>
      </patternFill>
    </fill>
  </fills>
  <borders count="64">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medium">
        <color rgb="FF000000"/>
      </left>
      <right style="thin">
        <color rgb="FF000000"/>
      </right>
      <top style="medium">
        <color rgb="FF000000"/>
      </top>
      <bottom style="hair">
        <color rgb="FF000000"/>
      </bottom>
    </border>
    <border>
      <left style="thin">
        <color rgb="FF000000"/>
      </left>
      <right style="thin">
        <color rgb="FF000000"/>
      </right>
      <top style="medium">
        <color rgb="FF000000"/>
      </top>
      <bottom style="hair">
        <color rgb="FF000000"/>
      </bottom>
    </border>
    <border>
      <left style="thin">
        <color rgb="FF000000"/>
      </left>
      <top style="medium">
        <color rgb="FF000000"/>
      </top>
      <bottom style="hair">
        <color rgb="FF000000"/>
      </bottom>
    </border>
    <border>
      <top style="medium">
        <color rgb="FF000000"/>
      </top>
      <bottom style="hair">
        <color rgb="FF000000"/>
      </bottom>
    </border>
    <border>
      <right style="thin">
        <color rgb="FF000000"/>
      </right>
      <top style="medium">
        <color rgb="FF000000"/>
      </top>
      <bottom style="hair">
        <color rgb="FF000000"/>
      </bottom>
    </border>
    <border>
      <left style="thin">
        <color rgb="FF000000"/>
      </left>
      <right style="medium">
        <color rgb="FF000000"/>
      </right>
      <top style="medium">
        <color rgb="FF000000"/>
      </top>
    </border>
    <border>
      <left style="medium">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bottom style="hair">
        <color rgb="FF000000"/>
      </bottom>
    </border>
    <border>
      <left style="thin">
        <color rgb="FF000000"/>
      </left>
      <right style="medium">
        <color rgb="FF000000"/>
      </right>
      <top style="hair">
        <color rgb="FF000000"/>
      </top>
      <bottom style="hair">
        <color rgb="FF000000"/>
      </bottom>
    </border>
    <border>
      <left style="medium">
        <color rgb="FF000000"/>
      </left>
      <right style="thin">
        <color rgb="FF000000"/>
      </right>
      <top style="hair">
        <color rgb="FF000000"/>
      </top>
    </border>
    <border>
      <left style="thin">
        <color rgb="FF000000"/>
      </left>
      <right style="thin">
        <color rgb="FF000000"/>
      </right>
      <top style="hair">
        <color rgb="FF000000"/>
      </top>
    </border>
    <border>
      <left style="thin">
        <color rgb="FF000000"/>
      </left>
      <top style="hair">
        <color rgb="FF000000"/>
      </top>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thin">
        <color theme="1"/>
      </left>
      <top style="thin">
        <color theme="1"/>
      </top>
    </border>
    <border>
      <right style="thin">
        <color theme="1"/>
      </right>
      <top style="thin">
        <color theme="1"/>
      </top>
    </border>
    <border>
      <left style="thin">
        <color theme="1"/>
      </left>
      <top style="thin">
        <color rgb="FF000000"/>
      </top>
    </border>
    <border>
      <left style="thin">
        <color theme="1"/>
      </left>
    </border>
    <border>
      <right style="thin">
        <color theme="1"/>
      </right>
    </border>
    <border>
      <right style="thin">
        <color rgb="FF000000"/>
      </right>
    </border>
    <border>
      <left style="thin">
        <color rgb="FF000000"/>
      </left>
      <right style="thin">
        <color rgb="FF000000"/>
      </right>
    </border>
    <border>
      <left style="thin">
        <color theme="1"/>
      </left>
      <bottom style="thin">
        <color theme="1"/>
      </bottom>
    </border>
    <border>
      <right style="thin">
        <color theme="1"/>
      </right>
      <bottom style="thin">
        <color theme="1"/>
      </bottom>
    </border>
    <border>
      <left style="thin">
        <color rgb="FF000000"/>
      </left>
      <right style="thin">
        <color rgb="FF000000"/>
      </right>
      <bottom style="thin">
        <color theme="1"/>
      </bottom>
    </border>
    <border>
      <left style="thin">
        <color theme="1"/>
      </left>
      <top style="thin">
        <color theme="1"/>
      </top>
      <bottom style="thin">
        <color theme="1"/>
      </bottom>
    </border>
    <border>
      <top style="thin">
        <color theme="1"/>
      </top>
      <bottom style="thin">
        <color theme="1"/>
      </bottom>
    </border>
    <border>
      <right style="thin">
        <color theme="1"/>
      </right>
      <top style="thin">
        <color theme="1"/>
      </top>
      <bottom style="thin">
        <color theme="1"/>
      </bottom>
    </border>
    <border>
      <left style="thin">
        <color theme="1"/>
      </left>
      <right style="thin">
        <color theme="1"/>
      </right>
      <top style="thin">
        <color theme="1"/>
      </top>
    </border>
    <border>
      <left style="thin">
        <color theme="1"/>
      </left>
      <right style="thin">
        <color theme="1"/>
      </right>
      <bottom style="thin">
        <color theme="1"/>
      </bottom>
    </border>
    <border>
      <left style="thin">
        <color theme="1"/>
      </left>
      <right style="thin">
        <color theme="1"/>
      </right>
      <top style="thin">
        <color theme="1"/>
      </top>
      <bottom style="thin">
        <color theme="1"/>
      </bottom>
    </border>
    <border>
      <left style="thin">
        <color rgb="FF000000"/>
      </left>
      <right style="thin">
        <color rgb="FF000000"/>
      </right>
      <top/>
      <bottom/>
    </border>
    <border>
      <left style="thin">
        <color rgb="FF000000"/>
      </left>
      <top/>
      <bottom/>
    </border>
    <border>
      <top/>
      <bottom/>
    </border>
    <border>
      <left/>
      <right style="thin">
        <color rgb="FF000000"/>
      </right>
      <top/>
      <bottom/>
    </border>
    <border>
      <left style="thin">
        <color theme="1"/>
      </left>
      <right style="thin">
        <color theme="1"/>
      </right>
    </border>
    <border>
      <left style="thin">
        <color rgb="FF000000"/>
      </left>
    </border>
    <border>
      <top style="thin">
        <color theme="1"/>
      </top>
    </border>
    <border>
      <bottom style="thin">
        <color theme="1"/>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theme="1"/>
      </left>
      <top style="thin">
        <color rgb="FF000000"/>
      </top>
      <bottom style="thin">
        <color theme="1"/>
      </bottom>
    </border>
    <border>
      <top style="thin">
        <color rgb="FF000000"/>
      </top>
      <bottom style="thin">
        <color theme="1"/>
      </bottom>
    </border>
    <border>
      <left style="thin">
        <color theme="1"/>
      </left>
      <top style="thin">
        <color theme="1"/>
      </top>
      <bottom style="thin">
        <color rgb="FF000000"/>
      </bottom>
    </border>
    <border>
      <top style="thin">
        <color theme="1"/>
      </top>
      <bottom style="thin">
        <color rgb="FF000000"/>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3" numFmtId="0" xfId="0" applyAlignment="1" applyBorder="1" applyFont="1">
      <alignment horizontal="right" readingOrder="0" shrinkToFit="0" vertical="center" wrapText="1"/>
    </xf>
    <xf borderId="0" fillId="0" fontId="3" numFmtId="0" xfId="0" applyAlignment="1" applyFont="1">
      <alignment shrinkToFit="0" wrapText="1"/>
    </xf>
    <xf borderId="4" fillId="0" fontId="2" numFmtId="0" xfId="0" applyBorder="1" applyFont="1"/>
    <xf borderId="5" fillId="0" fontId="2" numFmtId="0" xfId="0" applyBorder="1" applyFont="1"/>
    <xf borderId="6" fillId="0" fontId="2" numFmtId="0" xfId="0" applyBorder="1" applyFont="1"/>
    <xf borderId="7" fillId="2" fontId="4" numFmtId="0" xfId="0" applyAlignment="1" applyBorder="1" applyFill="1" applyFont="1">
      <alignment horizontal="left" readingOrder="0" shrinkToFit="0" wrapText="1"/>
    </xf>
    <xf borderId="8" fillId="0" fontId="2" numFmtId="0" xfId="0" applyBorder="1" applyFont="1"/>
    <xf borderId="9" fillId="2" fontId="4" numFmtId="0" xfId="0" applyAlignment="1" applyBorder="1" applyFont="1">
      <alignment horizontal="left" shrinkToFit="0" wrapText="1"/>
    </xf>
    <xf borderId="0" fillId="0" fontId="3" numFmtId="0" xfId="0" applyFont="1"/>
    <xf borderId="10" fillId="2" fontId="4" numFmtId="0" xfId="0" applyAlignment="1" applyBorder="1" applyFont="1">
      <alignment horizontal="left" readingOrder="0" shrinkToFit="0" wrapText="1"/>
    </xf>
    <xf borderId="11" fillId="0" fontId="2" numFmtId="0" xfId="0" applyBorder="1" applyFont="1"/>
    <xf borderId="12" fillId="2" fontId="4" numFmtId="0" xfId="0" applyAlignment="1" applyBorder="1" applyFont="1">
      <alignment horizontal="left" shrinkToFit="0" wrapText="1"/>
    </xf>
    <xf borderId="13" fillId="0" fontId="2" numFmtId="0" xfId="0" applyBorder="1" applyFont="1"/>
    <xf borderId="9" fillId="2" fontId="5" numFmtId="0" xfId="0" applyAlignment="1" applyBorder="1" applyFont="1">
      <alignment horizontal="left" shrinkToFit="0" wrapText="1"/>
    </xf>
    <xf borderId="0" fillId="0" fontId="5" numFmtId="0" xfId="0" applyFont="1"/>
    <xf borderId="9" fillId="3" fontId="6" numFmtId="0" xfId="0" applyAlignment="1" applyBorder="1" applyFill="1" applyFont="1">
      <alignment horizontal="center" shrinkToFit="0" vertical="center" wrapText="1"/>
    </xf>
    <xf borderId="10" fillId="3" fontId="6" numFmtId="0" xfId="0" applyAlignment="1" applyBorder="1" applyFont="1">
      <alignment horizontal="center" shrinkToFit="0" vertical="center" wrapText="1"/>
    </xf>
    <xf borderId="14" fillId="0" fontId="2" numFmtId="0" xfId="0" applyBorder="1" applyFont="1"/>
    <xf borderId="9" fillId="3" fontId="6" numFmtId="0" xfId="0" applyAlignment="1" applyBorder="1" applyFont="1">
      <alignment horizontal="center" readingOrder="0" shrinkToFit="0" vertical="center" wrapText="1"/>
    </xf>
    <xf borderId="0" fillId="0" fontId="5" numFmtId="0" xfId="0" applyAlignment="1" applyFont="1">
      <alignment shrinkToFit="0" wrapText="1"/>
    </xf>
    <xf borderId="9" fillId="0" fontId="3" numFmtId="0" xfId="0" applyAlignment="1" applyBorder="1" applyFont="1">
      <alignment horizontal="center" shrinkToFit="0" vertical="center" wrapText="1"/>
    </xf>
    <xf borderId="10" fillId="0" fontId="6" numFmtId="0" xfId="0" applyAlignment="1" applyBorder="1" applyFont="1">
      <alignment horizontal="left" readingOrder="0" shrinkToFit="0" vertical="center" wrapText="1"/>
    </xf>
    <xf borderId="10" fillId="0" fontId="6" numFmtId="164" xfId="0" applyAlignment="1" applyBorder="1" applyFont="1" applyNumberFormat="1">
      <alignment readingOrder="0" shrinkToFit="0" vertical="center" wrapText="1"/>
    </xf>
    <xf borderId="9" fillId="0" fontId="3" numFmtId="0" xfId="0" applyAlignment="1" applyBorder="1" applyFont="1">
      <alignment readingOrder="0" shrinkToFit="0" vertical="center" wrapText="1"/>
    </xf>
    <xf borderId="0" fillId="0" fontId="4" numFmtId="164" xfId="0" applyAlignment="1" applyFont="1" applyNumberFormat="1">
      <alignment readingOrder="0" shrinkToFit="0"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5" numFmtId="165" xfId="0" applyAlignment="1" applyFont="1" applyNumberFormat="1">
      <alignment shrinkToFit="0" vertical="center" wrapText="1"/>
    </xf>
    <xf borderId="9" fillId="0" fontId="6" numFmtId="164" xfId="0" applyAlignment="1" applyBorder="1" applyFont="1" applyNumberFormat="1">
      <alignment readingOrder="0" shrinkToFit="0" vertical="center" wrapText="1"/>
    </xf>
    <xf borderId="10" fillId="0" fontId="7" numFmtId="0" xfId="0" applyAlignment="1" applyBorder="1" applyFont="1">
      <alignment horizontal="left" readingOrder="0" shrinkToFit="0" vertical="center" wrapText="1"/>
    </xf>
    <xf borderId="9" fillId="0" fontId="3" numFmtId="0" xfId="0" applyAlignment="1" applyBorder="1" applyFont="1">
      <alignment horizontal="center" readingOrder="0" shrinkToFit="0" vertical="center" wrapText="1"/>
    </xf>
    <xf borderId="10" fillId="0" fontId="6" numFmtId="0" xfId="0" applyAlignment="1" applyBorder="1" applyFont="1">
      <alignment readingOrder="0" shrinkToFit="0" vertical="center" wrapText="1"/>
    </xf>
    <xf borderId="10" fillId="0" fontId="8" numFmtId="0" xfId="0" applyAlignment="1" applyBorder="1" applyFont="1">
      <alignment readingOrder="0" shrinkToFit="0" vertical="center" wrapText="1"/>
    </xf>
    <xf borderId="9" fillId="0" fontId="8" numFmtId="164" xfId="0" applyAlignment="1" applyBorder="1" applyFont="1" applyNumberFormat="1">
      <alignment shrinkToFit="0" vertical="center" wrapText="1"/>
    </xf>
    <xf borderId="9" fillId="0" fontId="3" numFmtId="0" xfId="0" applyAlignment="1" applyBorder="1" applyFont="1">
      <alignment shrinkToFit="0" vertical="center" wrapText="1"/>
    </xf>
    <xf borderId="0" fillId="0" fontId="9" numFmtId="0" xfId="0" applyAlignment="1" applyFont="1">
      <alignment horizontal="left" shrinkToFit="0" wrapText="1"/>
    </xf>
    <xf borderId="0" fillId="0" fontId="6" numFmtId="0" xfId="0" applyAlignment="1" applyFont="1">
      <alignment readingOrder="0" shrinkToFit="0" wrapText="0"/>
    </xf>
    <xf borderId="0" fillId="0" fontId="8" numFmtId="0" xfId="0" applyAlignment="1" applyFont="1">
      <alignment readingOrder="0" shrinkToFit="0" wrapText="1"/>
    </xf>
    <xf borderId="0" fillId="0" fontId="6" numFmtId="0" xfId="0" applyAlignment="1" applyFont="1">
      <alignment readingOrder="0" shrinkToFit="0" vertical="center" wrapText="0"/>
    </xf>
    <xf borderId="0" fillId="0" fontId="10" numFmtId="0" xfId="0" applyFont="1"/>
    <xf borderId="0" fillId="0" fontId="11" numFmtId="0" xfId="0" applyAlignment="1" applyFont="1">
      <alignment shrinkToFit="0" wrapText="0"/>
    </xf>
    <xf borderId="0" fillId="0" fontId="3" numFmtId="0" xfId="0" applyAlignment="1" applyFont="1">
      <alignment readingOrder="0" shrinkToFit="0" wrapText="0"/>
    </xf>
    <xf borderId="1" fillId="0" fontId="12" numFmtId="0" xfId="0" applyAlignment="1" applyBorder="1" applyFont="1">
      <alignment horizontal="center" readingOrder="0" shrinkToFit="0" vertical="center" wrapText="1"/>
    </xf>
    <xf borderId="15" fillId="0" fontId="2" numFmtId="0" xfId="0" applyBorder="1" applyFont="1"/>
    <xf borderId="1" fillId="0" fontId="3" numFmtId="0" xfId="0" applyAlignment="1" applyBorder="1" applyFont="1">
      <alignment horizontal="right" readingOrder="0" shrinkToFit="0" vertical="center" wrapText="1"/>
    </xf>
    <xf borderId="16" fillId="0" fontId="2" numFmtId="0" xfId="0" applyBorder="1" applyFont="1"/>
    <xf borderId="10" fillId="2" fontId="4" numFmtId="0" xfId="0" applyAlignment="1" applyBorder="1" applyFont="1">
      <alignment horizontal="left" shrinkToFit="0" wrapText="1"/>
    </xf>
    <xf borderId="10" fillId="2" fontId="5" numFmtId="0" xfId="0" applyAlignment="1" applyBorder="1" applyFont="1">
      <alignment horizontal="left" shrinkToFit="0" wrapText="1"/>
    </xf>
    <xf borderId="17" fillId="0" fontId="6" numFmtId="0" xfId="0" applyAlignment="1" applyBorder="1" applyFont="1">
      <alignment vertical="center"/>
    </xf>
    <xf borderId="18" fillId="0" fontId="6" numFmtId="0" xfId="0" applyAlignment="1" applyBorder="1" applyFont="1">
      <alignment vertical="center"/>
    </xf>
    <xf borderId="19" fillId="0" fontId="6" numFmtId="0" xfId="0" applyAlignment="1" applyBorder="1" applyFont="1">
      <alignment horizontal="center" vertical="center"/>
    </xf>
    <xf borderId="20" fillId="0" fontId="2" numFmtId="0" xfId="0" applyBorder="1" applyFont="1"/>
    <xf borderId="21" fillId="0" fontId="2" numFmtId="0" xfId="0" applyBorder="1" applyFont="1"/>
    <xf borderId="22" fillId="0" fontId="6" numFmtId="0" xfId="0" applyAlignment="1" applyBorder="1" applyFont="1">
      <alignment horizontal="center" vertical="center"/>
    </xf>
    <xf borderId="23" fillId="0" fontId="6" numFmtId="0" xfId="0" applyAlignment="1" applyBorder="1" applyFont="1">
      <alignment horizontal="center" vertical="center"/>
    </xf>
    <xf borderId="24" fillId="0" fontId="6" numFmtId="0" xfId="0" applyAlignment="1" applyBorder="1" applyFont="1">
      <alignment horizontal="center" vertical="center"/>
    </xf>
    <xf borderId="24" fillId="0" fontId="6" numFmtId="0" xfId="0" applyAlignment="1" applyBorder="1" applyFont="1">
      <alignment horizontal="center" readingOrder="0" vertical="center"/>
    </xf>
    <xf borderId="25" fillId="0" fontId="2" numFmtId="0" xfId="0" applyBorder="1" applyFont="1"/>
    <xf borderId="23" fillId="0" fontId="3" numFmtId="0" xfId="0" applyAlignment="1" applyBorder="1" applyFont="1">
      <alignment horizontal="center" vertical="center"/>
    </xf>
    <xf borderId="24" fillId="0" fontId="3" numFmtId="0" xfId="0" applyAlignment="1" applyBorder="1" applyFont="1">
      <alignment readingOrder="0" shrinkToFit="0" vertical="center" wrapText="1"/>
    </xf>
    <xf borderId="24" fillId="4" fontId="3" numFmtId="0" xfId="0" applyBorder="1" applyFill="1" applyFont="1"/>
    <xf borderId="24" fillId="0" fontId="3" numFmtId="0" xfId="0" applyBorder="1" applyFont="1"/>
    <xf borderId="26" fillId="0" fontId="3" numFmtId="166" xfId="0" applyAlignment="1" applyBorder="1" applyFont="1" applyNumberFormat="1">
      <alignment horizontal="left" readingOrder="0" shrinkToFit="0" vertical="center" wrapText="1"/>
    </xf>
    <xf borderId="26" fillId="0" fontId="3" numFmtId="166" xfId="0" applyAlignment="1" applyBorder="1" applyFont="1" applyNumberFormat="1">
      <alignment readingOrder="0" shrinkToFit="0" vertical="center" wrapText="1"/>
    </xf>
    <xf borderId="27" fillId="0" fontId="3" numFmtId="0" xfId="0" applyAlignment="1" applyBorder="1" applyFont="1">
      <alignment horizontal="center" vertical="center"/>
    </xf>
    <xf borderId="24" fillId="0" fontId="3" numFmtId="0" xfId="0" applyAlignment="1" applyBorder="1" applyFont="1">
      <alignment shrinkToFit="0" vertical="center" wrapText="1"/>
    </xf>
    <xf borderId="23" fillId="0" fontId="3" numFmtId="0" xfId="0" applyAlignment="1" applyBorder="1" applyFont="1">
      <alignment horizontal="center" readingOrder="0" vertical="center"/>
    </xf>
    <xf borderId="24" fillId="0" fontId="3" numFmtId="0" xfId="0" applyAlignment="1" applyBorder="1" applyFont="1">
      <alignment horizontal="left" readingOrder="0" shrinkToFit="0" vertical="center" wrapText="1"/>
    </xf>
    <xf borderId="24" fillId="5" fontId="3" numFmtId="0" xfId="0" applyBorder="1" applyFill="1" applyFont="1"/>
    <xf borderId="27" fillId="0" fontId="3" numFmtId="0" xfId="0" applyAlignment="1" applyBorder="1" applyFont="1">
      <alignment horizontal="center" readingOrder="0" vertical="center"/>
    </xf>
    <xf borderId="28" fillId="0" fontId="3" numFmtId="0" xfId="0" applyAlignment="1" applyBorder="1" applyFont="1">
      <alignment horizontal="left" shrinkToFit="0" vertical="center" wrapText="1"/>
    </xf>
    <xf borderId="24" fillId="0" fontId="3" numFmtId="9" xfId="0" applyAlignment="1" applyBorder="1" applyFont="1" applyNumberFormat="1">
      <alignment horizontal="center" vertical="center"/>
    </xf>
    <xf borderId="28" fillId="5" fontId="3" numFmtId="0" xfId="0" applyBorder="1" applyFont="1"/>
    <xf borderId="28" fillId="0" fontId="3" numFmtId="0" xfId="0" applyBorder="1" applyFont="1"/>
    <xf borderId="29" fillId="0" fontId="3" numFmtId="0" xfId="0" applyBorder="1" applyFont="1"/>
    <xf borderId="26" fillId="0" fontId="3" numFmtId="166" xfId="0" applyAlignment="1" applyBorder="1" applyFont="1" applyNumberFormat="1">
      <alignment shrinkToFit="0" vertical="center" wrapText="1"/>
    </xf>
    <xf borderId="30" fillId="0" fontId="3" numFmtId="0" xfId="0" applyAlignment="1" applyBorder="1" applyFont="1">
      <alignment horizontal="center" vertical="center"/>
    </xf>
    <xf borderId="31" fillId="0" fontId="3" numFmtId="0" xfId="0" applyBorder="1" applyFont="1"/>
    <xf borderId="31" fillId="0" fontId="6" numFmtId="9" xfId="0" applyAlignment="1" applyBorder="1" applyFont="1" applyNumberFormat="1">
      <alignment horizontal="center" vertical="center"/>
    </xf>
    <xf borderId="32" fillId="0" fontId="3" numFmtId="0" xfId="0" applyBorder="1" applyFont="1"/>
    <xf borderId="33" fillId="0" fontId="6" numFmtId="166" xfId="0" applyBorder="1" applyFont="1" applyNumberFormat="1"/>
    <xf borderId="0" fillId="0" fontId="8" numFmtId="0" xfId="0" applyAlignment="1" applyFont="1">
      <alignment horizontal="left"/>
    </xf>
    <xf borderId="0" fillId="0" fontId="6" numFmtId="0" xfId="0" applyAlignment="1" applyFont="1">
      <alignment horizontal="left" shrinkToFit="0" wrapText="1"/>
    </xf>
    <xf borderId="0" fillId="0" fontId="6" numFmtId="0" xfId="0" applyFont="1"/>
    <xf borderId="0" fillId="0" fontId="3" numFmtId="0" xfId="0" applyAlignment="1" applyFont="1">
      <alignment shrinkToFit="0" wrapText="0"/>
    </xf>
    <xf borderId="34" fillId="0" fontId="13" numFmtId="0" xfId="0" applyAlignment="1" applyBorder="1" applyFont="1">
      <alignment horizontal="center" shrinkToFit="0" wrapText="1"/>
    </xf>
    <xf borderId="35" fillId="0" fontId="2" numFmtId="0" xfId="0" applyBorder="1" applyFont="1"/>
    <xf borderId="36" fillId="0" fontId="14" numFmtId="0" xfId="0" applyAlignment="1" applyBorder="1" applyFont="1">
      <alignment horizontal="center" shrinkToFit="0" vertical="center" wrapText="1"/>
    </xf>
    <xf borderId="3" fillId="0" fontId="15" numFmtId="0" xfId="0" applyAlignment="1" applyBorder="1" applyFont="1">
      <alignment horizontal="center" shrinkToFit="0" vertical="center" wrapText="1"/>
    </xf>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42" fillId="0" fontId="2" numFmtId="0" xfId="0" applyBorder="1" applyFont="1"/>
    <xf borderId="43" fillId="0" fontId="2" numFmtId="0" xfId="0" applyBorder="1" applyFont="1"/>
    <xf borderId="7" fillId="2" fontId="5" numFmtId="0" xfId="0" applyAlignment="1" applyBorder="1" applyFont="1">
      <alignment horizontal="left" shrinkToFit="0" wrapText="1"/>
    </xf>
    <xf borderId="44" fillId="2" fontId="5" numFmtId="0" xfId="0" applyAlignment="1" applyBorder="1" applyFont="1">
      <alignment shrinkToFit="0" wrapText="1"/>
    </xf>
    <xf borderId="45" fillId="0" fontId="2" numFmtId="0" xfId="0" applyBorder="1" applyFont="1"/>
    <xf borderId="46" fillId="0" fontId="2" numFmtId="0" xfId="0" applyBorder="1" applyFont="1"/>
    <xf borderId="12" fillId="2" fontId="5" numFmtId="0" xfId="0" applyAlignment="1" applyBorder="1" applyFont="1">
      <alignment horizontal="left" shrinkToFit="0" wrapText="1"/>
    </xf>
    <xf borderId="47" fillId="3" fontId="7" numFmtId="0" xfId="0" applyAlignment="1" applyBorder="1" applyFont="1">
      <alignment horizontal="center" shrinkToFit="0" vertical="center" wrapText="1"/>
    </xf>
    <xf borderId="34" fillId="3" fontId="7" numFmtId="0" xfId="0" applyAlignment="1" applyBorder="1" applyFont="1">
      <alignment horizontal="center" shrinkToFit="0" vertical="center" wrapText="1"/>
    </xf>
    <xf borderId="44" fillId="3" fontId="7" numFmtId="0" xfId="0" applyAlignment="1" applyBorder="1" applyFont="1">
      <alignment horizontal="center" shrinkToFit="0" vertical="center" wrapText="1"/>
    </xf>
    <xf borderId="48" fillId="0" fontId="2" numFmtId="0" xfId="0" applyBorder="1" applyFont="1"/>
    <xf borderId="49" fillId="3" fontId="7" numFmtId="0" xfId="0" applyAlignment="1" applyBorder="1" applyFont="1">
      <alignment horizontal="center" shrinkToFit="0" vertical="center" wrapText="1"/>
    </xf>
    <xf borderId="44" fillId="6" fontId="7" numFmtId="0" xfId="0" applyAlignment="1" applyBorder="1" applyFill="1" applyFont="1">
      <alignment horizontal="left" shrinkToFit="0" vertical="center" wrapText="1"/>
    </xf>
    <xf borderId="49" fillId="6" fontId="16" numFmtId="0" xfId="0" applyAlignment="1" applyBorder="1" applyFont="1">
      <alignment horizontal="center" shrinkToFit="0" vertical="center" wrapText="1"/>
    </xf>
    <xf borderId="49" fillId="6" fontId="13" numFmtId="0" xfId="0" applyAlignment="1" applyBorder="1" applyFont="1">
      <alignment shrinkToFit="0" wrapText="1"/>
    </xf>
    <xf borderId="50" fillId="7" fontId="7" numFmtId="0" xfId="0" applyAlignment="1" applyBorder="1" applyFill="1" applyFont="1">
      <alignment horizontal="center" shrinkToFit="0" vertical="center" wrapText="1"/>
    </xf>
    <xf borderId="51" fillId="7" fontId="7" numFmtId="0" xfId="0" applyAlignment="1" applyBorder="1" applyFont="1">
      <alignment horizontal="left" shrinkToFit="0" vertical="center" wrapText="1"/>
    </xf>
    <xf borderId="52" fillId="0" fontId="2" numFmtId="0" xfId="0" applyBorder="1" applyFont="1"/>
    <xf borderId="49" fillId="7" fontId="16" numFmtId="0" xfId="0" applyAlignment="1" applyBorder="1" applyFont="1">
      <alignment horizontal="center" shrinkToFit="0" wrapText="1"/>
    </xf>
    <xf borderId="53" fillId="7" fontId="16" numFmtId="0" xfId="0" applyAlignment="1" applyBorder="1" applyFont="1">
      <alignment horizontal="center" shrinkToFit="0" wrapText="1"/>
    </xf>
    <xf borderId="53" fillId="7" fontId="13" numFmtId="0" xfId="0" applyAlignment="1" applyBorder="1" applyFont="1">
      <alignment shrinkToFit="0" wrapText="1"/>
    </xf>
    <xf borderId="47" fillId="8" fontId="7" numFmtId="0" xfId="0" applyAlignment="1" applyBorder="1" applyFill="1" applyFont="1">
      <alignment horizontal="center" shrinkToFit="0" vertical="center" wrapText="1"/>
    </xf>
    <xf borderId="49" fillId="8" fontId="13" numFmtId="0" xfId="0" applyAlignment="1" applyBorder="1" applyFont="1">
      <alignment horizontal="center" shrinkToFit="0" vertical="center" wrapText="1"/>
    </xf>
    <xf borderId="49" fillId="8" fontId="13" numFmtId="0" xfId="0" applyAlignment="1" applyBorder="1" applyFont="1">
      <alignment horizontal="left" shrinkToFit="0" vertical="center" wrapText="1"/>
    </xf>
    <xf borderId="49" fillId="8" fontId="16" numFmtId="0" xfId="0" applyAlignment="1" applyBorder="1" applyFont="1">
      <alignment horizontal="center" shrinkToFit="0" vertical="center" wrapText="1"/>
    </xf>
    <xf borderId="49" fillId="8" fontId="13" numFmtId="0" xfId="0" applyAlignment="1" applyBorder="1" applyFont="1">
      <alignment shrinkToFit="0" wrapText="1"/>
    </xf>
    <xf borderId="54" fillId="0" fontId="2" numFmtId="0" xfId="0" applyBorder="1" applyFont="1"/>
    <xf borderId="49" fillId="7" fontId="7" numFmtId="0" xfId="0" applyAlignment="1" applyBorder="1" applyFont="1">
      <alignment horizontal="center" shrinkToFit="0" vertical="center" wrapText="1"/>
    </xf>
    <xf borderId="44" fillId="7" fontId="7" numFmtId="0" xfId="0" applyAlignment="1" applyBorder="1" applyFont="1">
      <alignment horizontal="left" shrinkToFit="0" vertical="center" wrapText="1"/>
    </xf>
    <xf borderId="49" fillId="7" fontId="13" numFmtId="0" xfId="0" applyAlignment="1" applyBorder="1" applyFont="1">
      <alignment shrinkToFit="0" wrapText="1"/>
    </xf>
    <xf borderId="47" fillId="8" fontId="13" numFmtId="0" xfId="0" applyAlignment="1" applyBorder="1" applyFont="1">
      <alignment horizontal="center" shrinkToFit="0" vertical="center" wrapText="1"/>
    </xf>
    <xf borderId="47" fillId="0" fontId="7" numFmtId="0" xfId="0" applyAlignment="1" applyBorder="1" applyFont="1">
      <alignment horizontal="center" shrinkToFit="0" wrapText="1"/>
    </xf>
    <xf borderId="49" fillId="0" fontId="13" numFmtId="0" xfId="0" applyAlignment="1" applyBorder="1" applyFont="1">
      <alignment horizontal="center" shrinkToFit="0" vertical="center" wrapText="1"/>
    </xf>
    <xf borderId="49" fillId="0" fontId="13" numFmtId="0" xfId="0" applyAlignment="1" applyBorder="1" applyFont="1">
      <alignment horizontal="left" shrinkToFit="0" vertical="center" wrapText="1"/>
    </xf>
    <xf borderId="49" fillId="0" fontId="13" numFmtId="0" xfId="0" applyAlignment="1" applyBorder="1" applyFont="1">
      <alignment shrinkToFit="0" wrapText="1"/>
    </xf>
    <xf borderId="44" fillId="9" fontId="7" numFmtId="0" xfId="0" applyAlignment="1" applyBorder="1" applyFill="1" applyFont="1">
      <alignment horizontal="left" shrinkToFit="0" vertical="center" wrapText="1"/>
    </xf>
    <xf borderId="49" fillId="9" fontId="16" numFmtId="0" xfId="0" applyAlignment="1" applyBorder="1" applyFont="1">
      <alignment shrinkToFit="0" wrapText="1"/>
    </xf>
    <xf borderId="49" fillId="9" fontId="13" numFmtId="0" xfId="0" applyAlignment="1" applyBorder="1" applyFont="1">
      <alignment shrinkToFit="0" wrapText="1"/>
    </xf>
    <xf borderId="44" fillId="9" fontId="17" numFmtId="0" xfId="0" applyAlignment="1" applyBorder="1" applyFont="1">
      <alignment horizontal="left" vertical="center"/>
    </xf>
    <xf borderId="49" fillId="9" fontId="17" numFmtId="0" xfId="0" applyAlignment="1" applyBorder="1" applyFont="1">
      <alignment vertical="center"/>
    </xf>
    <xf borderId="49" fillId="9" fontId="7" numFmtId="0" xfId="0" applyAlignment="1" applyBorder="1" applyFont="1">
      <alignment shrinkToFit="0" vertical="top" wrapText="1"/>
    </xf>
    <xf borderId="49" fillId="0" fontId="18" numFmtId="0" xfId="0" applyAlignment="1" applyBorder="1" applyFont="1">
      <alignment horizontal="left" shrinkToFit="0" vertical="center" wrapText="1"/>
    </xf>
    <xf borderId="49" fillId="0" fontId="13" numFmtId="0" xfId="0" applyAlignment="1" applyBorder="1" applyFont="1">
      <alignment horizontal="left" shrinkToFit="0" vertical="top" wrapText="1"/>
    </xf>
    <xf borderId="49" fillId="7" fontId="6" numFmtId="0" xfId="0" applyAlignment="1" applyBorder="1" applyFont="1">
      <alignment horizontal="center" vertical="center"/>
    </xf>
    <xf borderId="44" fillId="7" fontId="6" numFmtId="0" xfId="0" applyAlignment="1" applyBorder="1" applyFont="1">
      <alignment horizontal="left" vertical="center"/>
    </xf>
    <xf borderId="49" fillId="7" fontId="3" numFmtId="0" xfId="0" applyBorder="1" applyFont="1"/>
    <xf borderId="49" fillId="0" fontId="3" numFmtId="0" xfId="0" applyAlignment="1" applyBorder="1" applyFont="1">
      <alignment horizontal="center" vertical="center"/>
    </xf>
    <xf borderId="44" fillId="0" fontId="3" numFmtId="0" xfId="0" applyAlignment="1" applyBorder="1" applyFont="1">
      <alignment horizontal="left" vertical="center"/>
    </xf>
    <xf borderId="49" fillId="0" fontId="3" numFmtId="0" xfId="0" applyBorder="1" applyFont="1"/>
    <xf borderId="3" fillId="0" fontId="3" numFmtId="0" xfId="0" applyAlignment="1" applyBorder="1" applyFont="1">
      <alignment horizontal="right" shrinkToFit="0" vertical="center" wrapText="1"/>
    </xf>
    <xf borderId="55" fillId="0" fontId="2" numFmtId="0" xfId="0" applyBorder="1" applyFont="1"/>
    <xf borderId="40" fillId="3" fontId="6" numFmtId="0" xfId="0" applyAlignment="1" applyBorder="1" applyFont="1">
      <alignment horizontal="center" shrinkToFit="0" vertical="center" wrapText="1"/>
    </xf>
    <xf borderId="55" fillId="3" fontId="6" numFmtId="0" xfId="0" applyAlignment="1" applyBorder="1" applyFont="1">
      <alignment horizontal="center" shrinkToFit="0" vertical="center" wrapText="1"/>
    </xf>
    <xf borderId="10" fillId="6" fontId="6" numFmtId="0" xfId="0" applyAlignment="1" applyBorder="1" applyFont="1">
      <alignment horizontal="left" shrinkToFit="0" vertical="center" wrapText="1"/>
    </xf>
    <xf borderId="9" fillId="6" fontId="3" numFmtId="0" xfId="0" applyAlignment="1" applyBorder="1" applyFont="1">
      <alignment horizontal="center" shrinkToFit="0" vertical="center" wrapText="1"/>
    </xf>
    <xf borderId="9" fillId="7" fontId="6" numFmtId="167" xfId="0" applyAlignment="1" applyBorder="1" applyFont="1" applyNumberFormat="1">
      <alignment horizontal="center" shrinkToFit="0" vertical="center" wrapText="1"/>
    </xf>
    <xf borderId="10" fillId="7" fontId="6" numFmtId="0" xfId="0" applyAlignment="1" applyBorder="1" applyFont="1">
      <alignment horizontal="left" readingOrder="0" shrinkToFit="0" vertical="center" wrapText="1"/>
    </xf>
    <xf borderId="9" fillId="7" fontId="3" numFmtId="0" xfId="0" applyAlignment="1" applyBorder="1" applyFont="1">
      <alignment shrinkToFit="0" wrapText="1"/>
    </xf>
    <xf borderId="3" fillId="0" fontId="3" numFmtId="0" xfId="0" applyAlignment="1" applyBorder="1" applyFont="1">
      <alignment horizontal="center" shrinkToFit="0" vertical="center" wrapText="1"/>
    </xf>
    <xf borderId="9" fillId="0" fontId="3" numFmtId="0" xfId="0" applyAlignment="1" applyBorder="1" applyFont="1">
      <alignment horizontal="left" readingOrder="0" shrinkToFit="0" vertical="center" wrapText="1"/>
    </xf>
    <xf borderId="9" fillId="7" fontId="3" numFmtId="0" xfId="0" applyAlignment="1" applyBorder="1" applyFont="1">
      <alignment horizontal="left" shrinkToFit="0" vertical="center" wrapText="1"/>
    </xf>
    <xf borderId="9" fillId="7" fontId="6" numFmtId="0" xfId="0" applyAlignment="1" applyBorder="1" applyFont="1">
      <alignment horizontal="left" shrinkToFit="0" vertical="center" wrapText="1"/>
    </xf>
    <xf borderId="9" fillId="0" fontId="19" numFmtId="0" xfId="0" applyAlignment="1" applyBorder="1" applyFont="1">
      <alignment readingOrder="0"/>
    </xf>
    <xf borderId="9" fillId="7" fontId="6" numFmtId="167" xfId="0" applyAlignment="1" applyBorder="1" applyFont="1" applyNumberFormat="1">
      <alignment horizontal="center" readingOrder="0" shrinkToFit="0" vertical="center" wrapText="1"/>
    </xf>
    <xf quotePrefix="1" borderId="9" fillId="7" fontId="6" numFmtId="0" xfId="0" applyAlignment="1" applyBorder="1" applyFont="1">
      <alignment horizontal="center" readingOrder="0" shrinkToFit="0" wrapText="1"/>
    </xf>
    <xf borderId="10" fillId="7" fontId="6" numFmtId="0" xfId="0" applyAlignment="1" applyBorder="1" applyFont="1">
      <alignment readingOrder="0" shrinkToFit="0" wrapText="1"/>
    </xf>
    <xf borderId="9" fillId="7" fontId="3" numFmtId="0" xfId="0" applyBorder="1" applyFont="1"/>
    <xf borderId="3" fillId="0" fontId="3" numFmtId="0" xfId="0" applyBorder="1" applyFont="1"/>
    <xf borderId="9" fillId="0" fontId="3" numFmtId="0" xfId="0" applyAlignment="1" applyBorder="1" applyFont="1">
      <alignment horizontal="center" shrinkToFit="0" vertical="center" wrapText="1"/>
    </xf>
    <xf borderId="34" fillId="0" fontId="14" numFmtId="0" xfId="0" applyAlignment="1" applyBorder="1" applyFont="1">
      <alignment horizontal="center" shrinkToFit="0" vertical="center" wrapText="1"/>
    </xf>
    <xf borderId="56" fillId="0" fontId="2" numFmtId="0" xfId="0" applyBorder="1" applyFont="1"/>
    <xf borderId="15" fillId="0" fontId="20" numFmtId="0" xfId="0" applyAlignment="1" applyBorder="1" applyFont="1">
      <alignment horizontal="center" shrinkToFit="0" vertical="center" wrapText="1"/>
    </xf>
    <xf borderId="49" fillId="0" fontId="3" numFmtId="0" xfId="0" applyAlignment="1" applyBorder="1" applyFont="1">
      <alignment horizontal="center"/>
    </xf>
    <xf borderId="39" fillId="0" fontId="15" numFmtId="0" xfId="0" applyAlignment="1" applyBorder="1" applyFont="1">
      <alignment horizontal="center" shrinkToFit="0" vertical="center" wrapText="1"/>
    </xf>
    <xf borderId="57" fillId="0" fontId="2" numFmtId="0" xfId="0" applyBorder="1" applyFont="1"/>
    <xf borderId="16" fillId="0" fontId="15" numFmtId="0" xfId="0" applyAlignment="1" applyBorder="1" applyFont="1">
      <alignment horizontal="center" shrinkToFit="0" vertical="center" wrapText="1"/>
    </xf>
    <xf borderId="49" fillId="6" fontId="16" numFmtId="0" xfId="0" applyAlignment="1" applyBorder="1" applyFont="1">
      <alignment horizontal="center" shrinkToFit="0" wrapText="1"/>
    </xf>
    <xf borderId="49" fillId="6" fontId="13" numFmtId="0" xfId="0" applyAlignment="1" applyBorder="1" applyFont="1">
      <alignment shrinkToFit="0" vertical="center" wrapText="1"/>
    </xf>
    <xf borderId="49" fillId="7" fontId="13" numFmtId="0" xfId="0" applyAlignment="1" applyBorder="1" applyFont="1">
      <alignment shrinkToFit="0" vertical="center" wrapText="1"/>
    </xf>
    <xf borderId="47" fillId="0" fontId="7" numFmtId="0" xfId="0" applyAlignment="1" applyBorder="1" applyFont="1">
      <alignment horizontal="center" shrinkToFit="0" vertical="center" wrapText="1"/>
    </xf>
    <xf borderId="49" fillId="0" fontId="13" numFmtId="0" xfId="0" applyAlignment="1" applyBorder="1" applyFont="1">
      <alignment shrinkToFit="0" vertical="center" wrapText="1"/>
    </xf>
    <xf borderId="44" fillId="0" fontId="13" numFmtId="0" xfId="0" applyAlignment="1" applyBorder="1" applyFont="1">
      <alignment horizontal="left" shrinkToFit="0" vertical="center" wrapText="1"/>
    </xf>
    <xf borderId="49" fillId="7" fontId="7" numFmtId="0" xfId="0" applyAlignment="1" applyBorder="1" applyFont="1">
      <alignment shrinkToFit="0" vertical="center" wrapText="1"/>
    </xf>
    <xf borderId="49" fillId="0" fontId="7" numFmtId="0" xfId="0" applyAlignment="1" applyBorder="1" applyFont="1">
      <alignment shrinkToFit="0" vertical="center" wrapText="1"/>
    </xf>
    <xf borderId="49" fillId="7" fontId="7" numFmtId="0" xfId="0" applyAlignment="1" applyBorder="1" applyFont="1">
      <alignment horizontal="center" vertical="center"/>
    </xf>
    <xf borderId="44" fillId="7" fontId="7" numFmtId="0" xfId="0" applyAlignment="1" applyBorder="1" applyFont="1">
      <alignment horizontal="left" vertical="center"/>
    </xf>
    <xf borderId="49" fillId="7" fontId="13" numFmtId="0" xfId="0" applyAlignment="1" applyBorder="1" applyFont="1">
      <alignment vertical="center"/>
    </xf>
    <xf borderId="47" fillId="0" fontId="7" numFmtId="0" xfId="0" applyAlignment="1" applyBorder="1" applyFont="1">
      <alignment horizontal="center"/>
    </xf>
    <xf borderId="49" fillId="0" fontId="13" numFmtId="0" xfId="0" applyAlignment="1" applyBorder="1" applyFont="1">
      <alignment horizontal="center" vertical="center"/>
    </xf>
    <xf borderId="49" fillId="0" fontId="13" numFmtId="0" xfId="0" applyBorder="1" applyFont="1"/>
    <xf borderId="49" fillId="0" fontId="3" numFmtId="0" xfId="0" applyAlignment="1" applyBorder="1" applyFont="1">
      <alignment horizontal="left" shrinkToFit="0" vertical="center" wrapText="1"/>
    </xf>
    <xf borderId="49" fillId="0" fontId="21" numFmtId="0" xfId="0" applyAlignment="1" applyBorder="1" applyFont="1">
      <alignment shrinkToFit="0" vertical="center" wrapText="1"/>
    </xf>
    <xf borderId="44" fillId="0" fontId="21" numFmtId="0" xfId="0" applyAlignment="1" applyBorder="1" applyFont="1">
      <alignment horizontal="left" shrinkToFit="0" vertical="center" wrapText="1"/>
    </xf>
    <xf borderId="49" fillId="0" fontId="13" numFmtId="0" xfId="0" applyAlignment="1" applyBorder="1" applyFont="1">
      <alignment vertical="center"/>
    </xf>
    <xf borderId="0" fillId="0" fontId="6" numFmtId="0" xfId="0" applyAlignment="1" applyFont="1">
      <alignment horizontal="center"/>
    </xf>
    <xf borderId="0" fillId="0" fontId="3" numFmtId="0" xfId="0" applyAlignment="1" applyFont="1">
      <alignment horizontal="center"/>
    </xf>
    <xf borderId="1" fillId="0" fontId="3" numFmtId="0" xfId="0" applyAlignment="1" applyBorder="1" applyFont="1">
      <alignment horizontal="center" shrinkToFit="0" wrapText="1"/>
    </xf>
    <xf borderId="1" fillId="0" fontId="1" numFmtId="0" xfId="0" applyAlignment="1" applyBorder="1" applyFont="1">
      <alignment horizontal="center" shrinkToFit="0" vertical="center" wrapText="1"/>
    </xf>
    <xf borderId="3" fillId="0" fontId="20" numFmtId="0" xfId="0" applyAlignment="1" applyBorder="1" applyFont="1">
      <alignment horizontal="center" shrinkToFit="0" vertical="center" wrapText="1"/>
    </xf>
    <xf borderId="3" fillId="3" fontId="6" numFmtId="0" xfId="0" applyAlignment="1" applyBorder="1" applyFont="1">
      <alignment horizontal="center" shrinkToFit="0" vertical="center" wrapText="1"/>
    </xf>
    <xf borderId="1" fillId="3" fontId="6" numFmtId="0" xfId="0" applyAlignment="1" applyBorder="1" applyFont="1">
      <alignment horizontal="center" shrinkToFit="0" vertical="center" wrapText="1"/>
    </xf>
    <xf borderId="9" fillId="6" fontId="22" numFmtId="0" xfId="0" applyAlignment="1" applyBorder="1" applyFont="1">
      <alignment horizontal="center" shrinkToFit="0" vertical="center" wrapText="1"/>
    </xf>
    <xf borderId="9" fillId="6" fontId="3" numFmtId="0" xfId="0" applyAlignment="1" applyBorder="1" applyFont="1">
      <alignment shrinkToFit="0" vertical="center" wrapText="1"/>
    </xf>
    <xf borderId="9" fillId="7" fontId="6" numFmtId="0" xfId="0" applyAlignment="1" applyBorder="1" applyFont="1">
      <alignment horizontal="center" shrinkToFit="0" vertical="center" wrapText="1"/>
    </xf>
    <xf borderId="10" fillId="7" fontId="6" numFmtId="0" xfId="0" applyAlignment="1" applyBorder="1" applyFont="1">
      <alignment horizontal="left" shrinkToFit="0" vertical="center" wrapText="1"/>
    </xf>
    <xf borderId="9" fillId="7" fontId="22" numFmtId="0" xfId="0" applyAlignment="1" applyBorder="1" applyFont="1">
      <alignment horizontal="center" shrinkToFit="0" vertical="center" wrapText="1"/>
    </xf>
    <xf borderId="9" fillId="7" fontId="3" numFmtId="0" xfId="0" applyAlignment="1" applyBorder="1" applyFont="1">
      <alignment shrinkToFit="0" vertical="center" wrapText="1"/>
    </xf>
    <xf borderId="9" fillId="5" fontId="6" numFmtId="0" xfId="0" applyAlignment="1" applyBorder="1" applyFont="1">
      <alignment horizontal="center" shrinkToFit="0" vertical="center" wrapText="1"/>
    </xf>
    <xf borderId="9" fillId="5" fontId="3" numFmtId="0" xfId="0" applyAlignment="1" applyBorder="1" applyFont="1">
      <alignment horizontal="center" shrinkToFit="0" vertical="center" wrapText="1"/>
    </xf>
    <xf quotePrefix="1" borderId="58" fillId="5" fontId="3" numFmtId="0" xfId="0" applyAlignment="1" applyBorder="1" applyFont="1">
      <alignment horizontal="left" shrinkToFit="0" vertical="center" wrapText="1"/>
    </xf>
    <xf borderId="9" fillId="5" fontId="22" numFmtId="0" xfId="0" applyAlignment="1" applyBorder="1" applyFont="1">
      <alignment horizontal="center" shrinkToFit="0" vertical="center" wrapText="1"/>
    </xf>
    <xf borderId="9" fillId="5" fontId="3" numFmtId="0" xfId="0" applyAlignment="1" applyBorder="1" applyFont="1">
      <alignment shrinkToFit="0" vertical="center" wrapText="1"/>
    </xf>
    <xf quotePrefix="1" borderId="59" fillId="5" fontId="3" numFmtId="0" xfId="0" applyAlignment="1" applyBorder="1" applyFont="1">
      <alignment horizontal="left" shrinkToFit="0" vertical="center" wrapText="1"/>
    </xf>
    <xf borderId="58" fillId="5" fontId="3" numFmtId="0" xfId="0" applyAlignment="1" applyBorder="1" applyFont="1">
      <alignment horizontal="left" shrinkToFit="0" vertical="center" wrapText="1"/>
    </xf>
    <xf borderId="3" fillId="5" fontId="6" numFmtId="0" xfId="0" applyAlignment="1" applyBorder="1" applyFont="1">
      <alignment horizontal="center" shrinkToFit="0" vertical="center" wrapText="1"/>
    </xf>
    <xf borderId="9" fillId="5" fontId="3" numFmtId="0" xfId="0" applyAlignment="1" applyBorder="1" applyFont="1">
      <alignment horizontal="left" shrinkToFit="0" vertical="center" wrapText="1"/>
    </xf>
    <xf borderId="59" fillId="5" fontId="3" numFmtId="0" xfId="0" applyAlignment="1" applyBorder="1" applyFont="1">
      <alignment horizontal="left" shrinkToFit="0" vertical="center" wrapText="1"/>
    </xf>
    <xf borderId="60" fillId="10" fontId="4" numFmtId="0" xfId="0" applyAlignment="1" applyBorder="1" applyFill="1" applyFont="1">
      <alignment horizontal="left" shrinkToFit="0" wrapText="1"/>
    </xf>
    <xf borderId="61" fillId="0" fontId="2" numFmtId="0" xfId="0" applyBorder="1" applyFont="1"/>
    <xf borderId="44" fillId="10" fontId="4" numFmtId="0" xfId="0" applyAlignment="1" applyBorder="1" applyFont="1">
      <alignment horizontal="left" shrinkToFit="0" wrapText="1"/>
    </xf>
    <xf borderId="62" fillId="10" fontId="4" numFmtId="0" xfId="0" applyAlignment="1" applyBorder="1" applyFont="1">
      <alignment horizontal="left" shrinkToFit="0" wrapText="1"/>
    </xf>
    <xf borderId="63" fillId="0" fontId="2" numFmtId="0" xfId="0" applyBorder="1" applyFont="1"/>
    <xf borderId="9" fillId="6" fontId="22" numFmtId="0" xfId="0" applyAlignment="1" applyBorder="1" applyFont="1">
      <alignment horizontal="center" shrinkToFit="0" wrapText="1"/>
    </xf>
    <xf borderId="9" fillId="7" fontId="22" numFmtId="0" xfId="0" applyAlignment="1" applyBorder="1" applyFont="1">
      <alignment shrinkToFit="0" wrapText="1"/>
    </xf>
    <xf borderId="9" fillId="0" fontId="3" numFmtId="0" xfId="0" applyAlignment="1" applyBorder="1" applyFont="1">
      <alignment horizontal="left" shrinkToFit="0" vertical="center" wrapText="1"/>
    </xf>
    <xf quotePrefix="1" borderId="9" fillId="0" fontId="3" numFmtId="0" xfId="0" applyAlignment="1" applyBorder="1" applyFont="1">
      <alignment horizontal="left" shrinkToFit="0" vertical="center" wrapText="1"/>
    </xf>
    <xf borderId="9" fillId="0" fontId="22" numFmtId="0" xfId="0" applyAlignment="1" applyBorder="1" applyFont="1">
      <alignment horizontal="center" shrinkToFit="0" vertical="center" wrapText="1"/>
    </xf>
    <xf borderId="9" fillId="7" fontId="23" numFmtId="0" xfId="0" applyAlignment="1" applyBorder="1" applyFont="1">
      <alignment horizontal="center" shrinkToFit="0" vertical="center" wrapText="1"/>
    </xf>
    <xf borderId="9" fillId="0" fontId="6" numFmtId="0" xfId="0" applyAlignment="1" applyBorder="1" applyFont="1">
      <alignment horizontal="center" shrinkToFit="0" vertical="center" wrapText="1"/>
    </xf>
    <xf borderId="9" fillId="0" fontId="23" numFmtId="0" xfId="0" applyAlignment="1" applyBorder="1" applyFont="1">
      <alignment horizontal="center" shrinkToFit="0" vertical="center" wrapText="1"/>
    </xf>
    <xf borderId="9" fillId="0" fontId="6" numFmtId="0" xfId="0" applyAlignment="1" applyBorder="1" applyFont="1">
      <alignment horizontal="left" shrinkToFit="0" vertical="center" wrapText="1"/>
    </xf>
    <xf borderId="10" fillId="7" fontId="6" numFmtId="0" xfId="0" applyAlignment="1" applyBorder="1" applyFont="1">
      <alignment horizontal="left" vertical="center"/>
    </xf>
    <xf quotePrefix="1" borderId="9" fillId="7" fontId="6" numFmtId="0" xfId="0" applyAlignment="1" applyBorder="1" applyFont="1">
      <alignment horizontal="center" shrinkToFit="0" vertical="center" wrapText="1"/>
    </xf>
    <xf borderId="9" fillId="7" fontId="6" numFmtId="0" xfId="0" applyAlignment="1" applyBorder="1" applyFont="1">
      <alignment horizontal="center" vertical="center"/>
    </xf>
    <xf borderId="9" fillId="7" fontId="3" numFmtId="0" xfId="0" applyBorder="1" applyFont="1"/>
    <xf borderId="9" fillId="0" fontId="3" numFmtId="0" xfId="0" applyBorder="1" applyFont="1"/>
    <xf borderId="9" fillId="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0</xdr:row>
      <xdr:rowOff>266700</xdr:rowOff>
    </xdr:from>
    <xdr:ext cx="1666875" cy="4381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495300</xdr:colOff>
      <xdr:row>27</xdr:row>
      <xdr:rowOff>0</xdr:rowOff>
    </xdr:from>
    <xdr:ext cx="7639050" cy="422910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0</xdr:row>
      <xdr:rowOff>304800</xdr:rowOff>
    </xdr:from>
    <xdr:ext cx="1495425" cy="3810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114300</xdr:rowOff>
    </xdr:from>
    <xdr:ext cx="2209800"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0</xdr:row>
      <xdr:rowOff>190500</xdr:rowOff>
    </xdr:from>
    <xdr:ext cx="1933575" cy="4953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85725</xdr:rowOff>
    </xdr:from>
    <xdr:ext cx="2209800"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2209800"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85725</xdr:rowOff>
    </xdr:from>
    <xdr:ext cx="2228850"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5.78"/>
    <col customWidth="1" min="2" max="2" width="21.0"/>
    <col customWidth="1" min="3" max="3" width="25.33"/>
    <col customWidth="1" min="4" max="4" width="12.67"/>
    <col customWidth="1" min="5" max="5" width="65.33"/>
    <col customWidth="1" min="6" max="6" width="12.0"/>
    <col customWidth="1" min="7" max="8" width="8.78"/>
    <col customWidth="1" min="9" max="9" width="11.11"/>
    <col customWidth="1" min="10" max="26" width="8.78"/>
  </cols>
  <sheetData>
    <row r="1" ht="30.0" customHeight="1">
      <c r="A1" s="1" t="s">
        <v>0</v>
      </c>
      <c r="B1" s="2"/>
      <c r="C1" s="2"/>
      <c r="D1" s="2"/>
      <c r="E1" s="3" t="s">
        <v>1</v>
      </c>
      <c r="F1" s="4"/>
      <c r="G1" s="4"/>
      <c r="H1" s="4"/>
      <c r="I1" s="4"/>
      <c r="J1" s="4"/>
      <c r="K1" s="4"/>
      <c r="L1" s="4"/>
      <c r="M1" s="4"/>
      <c r="N1" s="4"/>
      <c r="O1" s="4"/>
      <c r="P1" s="4"/>
      <c r="Q1" s="4"/>
      <c r="R1" s="4"/>
      <c r="S1" s="4"/>
      <c r="T1" s="4"/>
      <c r="U1" s="4"/>
      <c r="V1" s="4"/>
      <c r="W1" s="4"/>
      <c r="X1" s="4"/>
      <c r="Y1" s="4"/>
      <c r="Z1" s="4"/>
    </row>
    <row r="2" ht="30.0" customHeight="1">
      <c r="A2" s="5"/>
      <c r="B2" s="6"/>
      <c r="C2" s="6"/>
      <c r="D2" s="6"/>
      <c r="E2" s="7"/>
      <c r="F2" s="4"/>
      <c r="G2" s="4"/>
      <c r="H2" s="4"/>
      <c r="I2" s="4"/>
      <c r="J2" s="4"/>
      <c r="K2" s="4"/>
      <c r="L2" s="4"/>
      <c r="M2" s="4"/>
      <c r="N2" s="4"/>
      <c r="O2" s="4"/>
      <c r="P2" s="4"/>
      <c r="Q2" s="4"/>
      <c r="R2" s="4"/>
      <c r="S2" s="4"/>
      <c r="T2" s="4"/>
      <c r="U2" s="4"/>
      <c r="V2" s="4"/>
      <c r="W2" s="4"/>
      <c r="X2" s="4"/>
      <c r="Y2" s="4"/>
      <c r="Z2" s="4"/>
    </row>
    <row r="3" ht="18.0" customHeight="1">
      <c r="A3" s="8" t="s">
        <v>2</v>
      </c>
      <c r="B3" s="9"/>
      <c r="C3" s="9"/>
      <c r="D3" s="9"/>
      <c r="E3" s="10" t="s">
        <v>3</v>
      </c>
      <c r="F3" s="4"/>
      <c r="G3" s="11"/>
      <c r="H3" s="11"/>
      <c r="I3" s="11"/>
      <c r="J3" s="11"/>
      <c r="K3" s="11"/>
      <c r="L3" s="4"/>
      <c r="M3" s="4"/>
      <c r="N3" s="4"/>
      <c r="O3" s="4"/>
      <c r="P3" s="4"/>
      <c r="Q3" s="4"/>
      <c r="R3" s="4"/>
      <c r="S3" s="4"/>
      <c r="T3" s="4"/>
      <c r="U3" s="4"/>
      <c r="V3" s="4"/>
      <c r="W3" s="4"/>
      <c r="X3" s="4"/>
      <c r="Y3" s="4"/>
      <c r="Z3" s="4"/>
    </row>
    <row r="4" ht="18.0" customHeight="1">
      <c r="A4" s="12" t="s">
        <v>4</v>
      </c>
      <c r="B4" s="13"/>
      <c r="C4" s="13"/>
      <c r="D4" s="13"/>
      <c r="E4" s="10" t="s">
        <v>5</v>
      </c>
      <c r="F4" s="4"/>
      <c r="G4" s="11"/>
      <c r="H4" s="11"/>
      <c r="I4" s="11"/>
      <c r="J4" s="11"/>
      <c r="K4" s="11"/>
      <c r="L4" s="4"/>
      <c r="M4" s="4"/>
      <c r="N4" s="4"/>
      <c r="O4" s="4"/>
      <c r="P4" s="4"/>
      <c r="Q4" s="4"/>
      <c r="R4" s="4"/>
      <c r="S4" s="4"/>
      <c r="T4" s="4"/>
      <c r="U4" s="4"/>
      <c r="V4" s="4"/>
      <c r="W4" s="4"/>
      <c r="X4" s="4"/>
      <c r="Y4" s="4"/>
      <c r="Z4" s="4"/>
    </row>
    <row r="5" ht="18.0" customHeight="1">
      <c r="A5" s="14" t="s">
        <v>6</v>
      </c>
      <c r="B5" s="15"/>
      <c r="C5" s="15"/>
      <c r="D5" s="15"/>
      <c r="E5" s="16" t="s">
        <v>7</v>
      </c>
      <c r="F5" s="4"/>
      <c r="G5" s="11"/>
      <c r="H5" s="17"/>
      <c r="I5" s="17"/>
      <c r="J5" s="11"/>
      <c r="K5" s="11"/>
      <c r="L5" s="4"/>
      <c r="M5" s="4"/>
      <c r="N5" s="4"/>
      <c r="O5" s="4"/>
      <c r="P5" s="4"/>
      <c r="Q5" s="4"/>
      <c r="R5" s="4"/>
      <c r="S5" s="4"/>
      <c r="T5" s="4"/>
      <c r="U5" s="4"/>
      <c r="V5" s="4"/>
      <c r="W5" s="4"/>
      <c r="X5" s="4"/>
      <c r="Y5" s="4"/>
      <c r="Z5" s="4"/>
    </row>
    <row r="6" ht="34.5" customHeight="1">
      <c r="A6" s="18" t="s">
        <v>8</v>
      </c>
      <c r="B6" s="19" t="s">
        <v>9</v>
      </c>
      <c r="C6" s="20"/>
      <c r="D6" s="21" t="s">
        <v>10</v>
      </c>
      <c r="E6" s="18" t="s">
        <v>11</v>
      </c>
      <c r="F6" s="4"/>
      <c r="G6" s="4"/>
      <c r="H6" s="22"/>
      <c r="I6" s="22"/>
      <c r="J6" s="4"/>
      <c r="K6" s="4"/>
      <c r="L6" s="4"/>
      <c r="M6" s="4"/>
      <c r="N6" s="4"/>
      <c r="O6" s="4"/>
      <c r="P6" s="4"/>
      <c r="Q6" s="4"/>
      <c r="R6" s="4"/>
      <c r="S6" s="4"/>
      <c r="T6" s="4"/>
      <c r="U6" s="4"/>
      <c r="V6" s="4"/>
      <c r="W6" s="4"/>
      <c r="X6" s="4"/>
      <c r="Y6" s="4"/>
      <c r="Z6" s="4"/>
    </row>
    <row r="7" ht="34.5" customHeight="1">
      <c r="A7" s="23">
        <v>1.0</v>
      </c>
      <c r="B7" s="24" t="s">
        <v>12</v>
      </c>
      <c r="C7" s="13"/>
      <c r="D7" s="25">
        <f>F7</f>
        <v>25000000</v>
      </c>
      <c r="E7" s="26" t="s">
        <v>13</v>
      </c>
      <c r="F7" s="27">
        <v>2.5E7</v>
      </c>
      <c r="G7" s="28"/>
      <c r="H7" s="29"/>
      <c r="I7" s="30"/>
      <c r="J7" s="28"/>
      <c r="K7" s="28"/>
      <c r="L7" s="28"/>
      <c r="M7" s="28"/>
      <c r="N7" s="28"/>
      <c r="O7" s="28"/>
      <c r="P7" s="28"/>
      <c r="Q7" s="28"/>
      <c r="R7" s="28"/>
      <c r="S7" s="28"/>
      <c r="T7" s="28"/>
      <c r="U7" s="28"/>
      <c r="V7" s="28"/>
      <c r="W7" s="28"/>
      <c r="X7" s="28"/>
      <c r="Y7" s="28"/>
      <c r="Z7" s="28"/>
    </row>
    <row r="8" ht="34.5" customHeight="1">
      <c r="A8" s="23">
        <v>2.0</v>
      </c>
      <c r="B8" s="24" t="s">
        <v>14</v>
      </c>
      <c r="C8" s="13"/>
      <c r="D8" s="25">
        <f>F7*1.5</f>
        <v>37500000</v>
      </c>
      <c r="E8" s="26" t="s">
        <v>15</v>
      </c>
      <c r="F8" s="4"/>
      <c r="G8" s="28"/>
      <c r="H8" s="29">
        <v>0.5</v>
      </c>
      <c r="I8" s="30">
        <v>5.0E7</v>
      </c>
      <c r="J8" s="28"/>
      <c r="K8" s="28"/>
      <c r="L8" s="28"/>
      <c r="M8" s="28"/>
      <c r="N8" s="28"/>
      <c r="O8" s="28"/>
      <c r="P8" s="28"/>
      <c r="Q8" s="28"/>
      <c r="R8" s="28"/>
      <c r="S8" s="28"/>
      <c r="T8" s="28"/>
      <c r="U8" s="28"/>
      <c r="V8" s="28"/>
      <c r="W8" s="28"/>
      <c r="X8" s="28"/>
      <c r="Y8" s="28"/>
      <c r="Z8" s="28"/>
    </row>
    <row r="9" ht="34.5" customHeight="1">
      <c r="A9" s="23">
        <v>3.0</v>
      </c>
      <c r="B9" s="24" t="s">
        <v>16</v>
      </c>
      <c r="C9" s="20"/>
      <c r="D9" s="31">
        <f>F7*2.5</f>
        <v>62500000</v>
      </c>
      <c r="E9" s="26" t="s">
        <v>17</v>
      </c>
      <c r="F9" s="28"/>
      <c r="G9" s="28"/>
      <c r="H9" s="29">
        <v>1.5</v>
      </c>
      <c r="I9" s="30">
        <v>5.0E7</v>
      </c>
      <c r="J9" s="28"/>
      <c r="K9" s="28"/>
      <c r="L9" s="28"/>
      <c r="M9" s="28"/>
      <c r="N9" s="28"/>
      <c r="O9" s="28"/>
      <c r="P9" s="28"/>
      <c r="Q9" s="28"/>
      <c r="R9" s="28"/>
      <c r="S9" s="28"/>
      <c r="T9" s="28"/>
      <c r="U9" s="28"/>
      <c r="V9" s="28"/>
      <c r="W9" s="28"/>
      <c r="X9" s="28"/>
      <c r="Y9" s="28"/>
      <c r="Z9" s="28"/>
    </row>
    <row r="10" ht="34.5" customHeight="1">
      <c r="A10" s="23">
        <v>4.0</v>
      </c>
      <c r="B10" s="32" t="s">
        <v>18</v>
      </c>
      <c r="C10" s="20"/>
      <c r="D10" s="31">
        <f>F7*2</f>
        <v>50000000</v>
      </c>
      <c r="E10" s="26" t="s">
        <v>19</v>
      </c>
      <c r="F10" s="28"/>
      <c r="G10" s="28"/>
      <c r="H10" s="29">
        <v>1.5</v>
      </c>
      <c r="I10" s="30">
        <v>5.0E7</v>
      </c>
      <c r="J10" s="28"/>
      <c r="K10" s="28"/>
      <c r="L10" s="28"/>
      <c r="M10" s="28"/>
      <c r="N10" s="28"/>
      <c r="O10" s="28"/>
      <c r="P10" s="28"/>
      <c r="Q10" s="28"/>
      <c r="R10" s="28"/>
      <c r="S10" s="28"/>
      <c r="T10" s="28"/>
      <c r="U10" s="28"/>
      <c r="V10" s="28"/>
      <c r="W10" s="28"/>
      <c r="X10" s="28"/>
      <c r="Y10" s="28"/>
      <c r="Z10" s="28"/>
    </row>
    <row r="11" ht="34.5" customHeight="1">
      <c r="A11" s="23">
        <v>5.0</v>
      </c>
      <c r="B11" s="32" t="s">
        <v>20</v>
      </c>
      <c r="C11" s="20"/>
      <c r="D11" s="31">
        <f>F7*1.5</f>
        <v>37500000</v>
      </c>
      <c r="E11" s="26" t="s">
        <v>21</v>
      </c>
      <c r="F11" s="28"/>
      <c r="G11" s="28"/>
      <c r="H11" s="29">
        <v>1.5</v>
      </c>
      <c r="I11" s="30">
        <v>5.0E7</v>
      </c>
      <c r="J11" s="28"/>
      <c r="K11" s="28"/>
      <c r="L11" s="28"/>
      <c r="M11" s="28"/>
      <c r="N11" s="28"/>
      <c r="O11" s="28"/>
      <c r="P11" s="28"/>
      <c r="Q11" s="28"/>
      <c r="R11" s="28"/>
      <c r="S11" s="28"/>
      <c r="T11" s="28"/>
      <c r="U11" s="28"/>
      <c r="V11" s="28"/>
      <c r="W11" s="28"/>
      <c r="X11" s="28"/>
      <c r="Y11" s="28"/>
      <c r="Z11" s="28"/>
    </row>
    <row r="12" ht="34.5" customHeight="1">
      <c r="A12" s="23">
        <v>6.0</v>
      </c>
      <c r="B12" s="32" t="s">
        <v>22</v>
      </c>
      <c r="C12" s="20"/>
      <c r="D12" s="31">
        <f>F7*5</f>
        <v>125000000</v>
      </c>
      <c r="E12" s="26" t="s">
        <v>23</v>
      </c>
      <c r="F12" s="28"/>
      <c r="G12" s="28"/>
      <c r="H12" s="29">
        <v>2.2</v>
      </c>
      <c r="I12" s="30">
        <v>5.0E7</v>
      </c>
      <c r="J12" s="28"/>
      <c r="K12" s="28"/>
      <c r="L12" s="28"/>
      <c r="M12" s="28"/>
      <c r="N12" s="28"/>
      <c r="O12" s="28"/>
      <c r="P12" s="28"/>
      <c r="Q12" s="28"/>
      <c r="R12" s="28"/>
      <c r="S12" s="28"/>
      <c r="T12" s="28"/>
      <c r="U12" s="28"/>
      <c r="V12" s="28"/>
      <c r="W12" s="28"/>
      <c r="X12" s="28"/>
      <c r="Y12" s="28"/>
      <c r="Z12" s="28"/>
    </row>
    <row r="13" ht="34.5" customHeight="1">
      <c r="A13" s="33">
        <v>7.0</v>
      </c>
      <c r="B13" s="32" t="s">
        <v>24</v>
      </c>
      <c r="C13" s="13"/>
      <c r="D13" s="25">
        <f>F7*3.5</f>
        <v>87500000</v>
      </c>
      <c r="E13" s="26" t="s">
        <v>25</v>
      </c>
      <c r="F13" s="28"/>
      <c r="G13" s="28"/>
      <c r="H13" s="29">
        <v>2.5</v>
      </c>
      <c r="I13" s="30">
        <v>5.0E7</v>
      </c>
      <c r="J13" s="28"/>
      <c r="K13" s="28"/>
      <c r="L13" s="28"/>
      <c r="M13" s="28"/>
      <c r="N13" s="28"/>
      <c r="O13" s="28"/>
      <c r="P13" s="28"/>
      <c r="Q13" s="28"/>
      <c r="R13" s="28"/>
      <c r="S13" s="28"/>
      <c r="T13" s="28"/>
      <c r="U13" s="28"/>
      <c r="V13" s="28"/>
      <c r="W13" s="28"/>
      <c r="X13" s="28"/>
      <c r="Y13" s="28"/>
      <c r="Z13" s="28"/>
    </row>
    <row r="14" ht="34.5" customHeight="1">
      <c r="A14" s="33">
        <v>8.0</v>
      </c>
      <c r="B14" s="32" t="s">
        <v>26</v>
      </c>
      <c r="C14" s="13"/>
      <c r="D14" s="25">
        <f>F7*2</f>
        <v>50000000</v>
      </c>
      <c r="E14" s="26" t="s">
        <v>27</v>
      </c>
      <c r="F14" s="28"/>
      <c r="G14" s="28"/>
      <c r="H14" s="29"/>
      <c r="I14" s="30"/>
      <c r="J14" s="28"/>
      <c r="K14" s="28"/>
      <c r="L14" s="28"/>
      <c r="M14" s="28"/>
      <c r="N14" s="28"/>
      <c r="O14" s="28"/>
      <c r="P14" s="28"/>
      <c r="Q14" s="28"/>
      <c r="R14" s="28"/>
      <c r="S14" s="28"/>
      <c r="T14" s="28"/>
      <c r="U14" s="28"/>
      <c r="V14" s="28"/>
      <c r="W14" s="28"/>
      <c r="X14" s="28"/>
      <c r="Y14" s="28"/>
      <c r="Z14" s="28"/>
    </row>
    <row r="15" ht="34.5" customHeight="1">
      <c r="A15" s="33">
        <v>9.0</v>
      </c>
      <c r="B15" s="32" t="s">
        <v>28</v>
      </c>
      <c r="C15" s="13"/>
      <c r="D15" s="25">
        <f>F7*2</f>
        <v>50000000</v>
      </c>
      <c r="E15" s="26" t="s">
        <v>29</v>
      </c>
      <c r="F15" s="4"/>
      <c r="G15" s="4"/>
      <c r="H15" s="4"/>
      <c r="I15" s="4"/>
      <c r="J15" s="4"/>
      <c r="K15" s="4"/>
      <c r="L15" s="4"/>
      <c r="M15" s="4"/>
      <c r="N15" s="4"/>
      <c r="O15" s="4"/>
      <c r="P15" s="4"/>
      <c r="Q15" s="4"/>
      <c r="R15" s="4"/>
      <c r="S15" s="4"/>
      <c r="T15" s="4"/>
      <c r="U15" s="4"/>
      <c r="V15" s="4"/>
      <c r="W15" s="4"/>
      <c r="X15" s="4"/>
      <c r="Y15" s="4"/>
      <c r="Z15" s="4"/>
    </row>
    <row r="16" ht="34.5" customHeight="1">
      <c r="A16" s="33">
        <v>10.0</v>
      </c>
      <c r="B16" s="32" t="s">
        <v>30</v>
      </c>
      <c r="C16" s="13"/>
      <c r="D16" s="25">
        <f>F7*3</f>
        <v>75000000</v>
      </c>
      <c r="E16" s="26" t="s">
        <v>31</v>
      </c>
      <c r="F16" s="4"/>
      <c r="G16" s="4"/>
      <c r="H16" s="4"/>
      <c r="I16" s="4"/>
      <c r="J16" s="4"/>
      <c r="K16" s="4"/>
      <c r="L16" s="4"/>
      <c r="M16" s="4"/>
      <c r="N16" s="4"/>
      <c r="O16" s="4"/>
      <c r="P16" s="4"/>
      <c r="Q16" s="4"/>
      <c r="R16" s="4"/>
      <c r="S16" s="4"/>
      <c r="T16" s="4"/>
      <c r="U16" s="4"/>
      <c r="V16" s="4"/>
      <c r="W16" s="4"/>
      <c r="X16" s="4"/>
      <c r="Y16" s="4"/>
      <c r="Z16" s="4"/>
    </row>
    <row r="17" ht="48.0" customHeight="1">
      <c r="A17" s="33">
        <v>11.0</v>
      </c>
      <c r="B17" s="34" t="s">
        <v>32</v>
      </c>
      <c r="C17" s="13"/>
      <c r="D17" s="35">
        <v>0.0</v>
      </c>
      <c r="E17" s="26" t="s">
        <v>33</v>
      </c>
      <c r="F17" s="4"/>
      <c r="G17" s="4"/>
      <c r="H17" s="4"/>
      <c r="I17" s="4"/>
      <c r="J17" s="4"/>
      <c r="K17" s="4"/>
      <c r="L17" s="4"/>
      <c r="M17" s="4"/>
      <c r="N17" s="4"/>
      <c r="O17" s="4"/>
      <c r="P17" s="4"/>
      <c r="Q17" s="4"/>
      <c r="R17" s="4"/>
      <c r="S17" s="4"/>
      <c r="T17" s="4"/>
      <c r="U17" s="4"/>
      <c r="V17" s="4"/>
      <c r="W17" s="4"/>
      <c r="X17" s="4"/>
      <c r="Y17" s="4"/>
      <c r="Z17" s="4"/>
    </row>
    <row r="18" ht="37.5" customHeight="1">
      <c r="A18" s="34" t="s">
        <v>34</v>
      </c>
      <c r="B18" s="13"/>
      <c r="C18" s="20"/>
      <c r="D18" s="36">
        <f>SUM(D7:D17)</f>
        <v>600000000</v>
      </c>
      <c r="E18" s="37"/>
      <c r="F18" s="4"/>
      <c r="G18" s="4"/>
      <c r="H18" s="4"/>
      <c r="I18" s="4"/>
      <c r="J18" s="4"/>
      <c r="K18" s="4"/>
      <c r="L18" s="4"/>
      <c r="M18" s="4"/>
      <c r="N18" s="4"/>
      <c r="O18" s="4"/>
      <c r="P18" s="4"/>
      <c r="Q18" s="4"/>
      <c r="R18" s="4"/>
      <c r="S18" s="4"/>
      <c r="T18" s="4"/>
      <c r="U18" s="4"/>
      <c r="V18" s="4"/>
      <c r="W18" s="4"/>
      <c r="X18" s="4"/>
      <c r="Y18" s="4"/>
      <c r="Z18" s="4"/>
    </row>
    <row r="19" ht="28.5" customHeight="1">
      <c r="A19" s="4"/>
      <c r="B19" s="38" t="s">
        <v>35</v>
      </c>
      <c r="D19" s="4"/>
      <c r="E19" s="4"/>
      <c r="F19" s="4"/>
      <c r="G19" s="4"/>
      <c r="H19" s="4"/>
      <c r="I19" s="4"/>
      <c r="J19" s="4"/>
      <c r="K19" s="4"/>
      <c r="L19" s="4"/>
      <c r="M19" s="4"/>
      <c r="N19" s="4"/>
      <c r="O19" s="4"/>
      <c r="P19" s="4"/>
      <c r="Q19" s="4"/>
      <c r="R19" s="4"/>
      <c r="S19" s="4"/>
      <c r="T19" s="4"/>
      <c r="U19" s="4"/>
      <c r="V19" s="4"/>
      <c r="W19" s="4"/>
      <c r="X19" s="4"/>
      <c r="Y19" s="4"/>
      <c r="Z19" s="4"/>
    </row>
    <row r="20" ht="19.5" customHeight="1">
      <c r="A20" s="4"/>
      <c r="B20" s="4"/>
      <c r="C20" s="39" t="s">
        <v>36</v>
      </c>
      <c r="D20" s="4"/>
      <c r="E20" s="4"/>
      <c r="F20" s="4"/>
      <c r="G20" s="4"/>
      <c r="H20" s="4"/>
      <c r="I20" s="4"/>
      <c r="J20" s="4"/>
      <c r="K20" s="4"/>
      <c r="L20" s="4"/>
      <c r="M20" s="4"/>
      <c r="N20" s="4"/>
      <c r="O20" s="4"/>
      <c r="P20" s="4"/>
      <c r="Q20" s="4"/>
      <c r="R20" s="4"/>
      <c r="S20" s="4"/>
      <c r="T20" s="4"/>
      <c r="U20" s="4"/>
      <c r="V20" s="4"/>
      <c r="W20" s="4"/>
      <c r="X20" s="4"/>
      <c r="Y20" s="4"/>
      <c r="Z20" s="4"/>
    </row>
    <row r="21" ht="19.5" customHeight="1">
      <c r="A21" s="4"/>
      <c r="B21" s="4"/>
      <c r="C21" s="39" t="s">
        <v>37</v>
      </c>
      <c r="D21" s="4"/>
      <c r="E21" s="4"/>
      <c r="F21" s="4"/>
      <c r="G21" s="4"/>
      <c r="H21" s="4"/>
      <c r="I21" s="4"/>
      <c r="J21" s="4"/>
      <c r="K21" s="4"/>
      <c r="L21" s="4"/>
      <c r="M21" s="4"/>
      <c r="N21" s="4"/>
      <c r="O21" s="4"/>
      <c r="P21" s="4"/>
      <c r="Q21" s="4"/>
      <c r="R21" s="4"/>
      <c r="S21" s="4"/>
      <c r="T21" s="4"/>
      <c r="U21" s="4"/>
      <c r="V21" s="4"/>
      <c r="W21" s="4"/>
      <c r="X21" s="4"/>
      <c r="Y21" s="4"/>
      <c r="Z21" s="4"/>
    </row>
    <row r="22" ht="19.5" customHeight="1">
      <c r="A22" s="4"/>
      <c r="B22" s="4"/>
      <c r="C22" s="39" t="s">
        <v>38</v>
      </c>
      <c r="D22" s="4"/>
      <c r="E22" s="4"/>
      <c r="F22" s="4"/>
      <c r="G22" s="4"/>
      <c r="H22" s="4"/>
      <c r="I22" s="4"/>
      <c r="J22" s="4"/>
      <c r="K22" s="4"/>
      <c r="L22" s="4"/>
      <c r="M22" s="4"/>
      <c r="N22" s="4"/>
      <c r="O22" s="4"/>
      <c r="P22" s="4"/>
      <c r="Q22" s="4"/>
      <c r="R22" s="4"/>
      <c r="S22" s="4"/>
      <c r="T22" s="4"/>
      <c r="U22" s="4"/>
      <c r="V22" s="4"/>
      <c r="W22" s="4"/>
      <c r="X22" s="4"/>
      <c r="Y22" s="4"/>
      <c r="Z22" s="4"/>
    </row>
    <row r="23" ht="19.5" customHeight="1">
      <c r="A23" s="4"/>
      <c r="B23" s="4"/>
      <c r="C23" s="40" t="s">
        <v>39</v>
      </c>
      <c r="D23" s="4"/>
      <c r="E23" s="4"/>
      <c r="F23" s="4"/>
      <c r="G23" s="4"/>
      <c r="H23" s="4"/>
      <c r="I23" s="4"/>
      <c r="J23" s="4"/>
      <c r="K23" s="4"/>
      <c r="L23" s="4"/>
      <c r="M23" s="4"/>
      <c r="N23" s="4"/>
      <c r="O23" s="4"/>
      <c r="P23" s="4"/>
      <c r="Q23" s="4"/>
      <c r="R23" s="4"/>
      <c r="S23" s="4"/>
      <c r="T23" s="4"/>
      <c r="U23" s="4"/>
      <c r="V23" s="4"/>
      <c r="W23" s="4"/>
      <c r="X23" s="4"/>
      <c r="Y23" s="4"/>
      <c r="Z23" s="4"/>
    </row>
    <row r="24" ht="24.75" customHeight="1">
      <c r="A24" s="4"/>
      <c r="B24" s="4"/>
      <c r="C24" s="41" t="s">
        <v>40</v>
      </c>
      <c r="D24" s="4"/>
      <c r="E24" s="4"/>
      <c r="F24" s="4"/>
      <c r="G24" s="4"/>
      <c r="H24" s="4"/>
      <c r="I24" s="4"/>
      <c r="J24" s="4"/>
      <c r="K24" s="4"/>
      <c r="L24" s="4"/>
      <c r="M24" s="4"/>
      <c r="N24" s="4"/>
      <c r="O24" s="4"/>
      <c r="P24" s="4"/>
      <c r="Q24" s="4"/>
      <c r="R24" s="4"/>
      <c r="S24" s="4"/>
      <c r="T24" s="4"/>
      <c r="U24" s="4"/>
      <c r="V24" s="4"/>
      <c r="W24" s="4"/>
      <c r="X24" s="4"/>
      <c r="Y24" s="4"/>
      <c r="Z24" s="4"/>
    </row>
    <row r="25" ht="30.0" customHeight="1">
      <c r="A25" s="4"/>
      <c r="B25" s="38"/>
      <c r="C25" s="38"/>
      <c r="D25" s="4"/>
      <c r="E25" s="4"/>
      <c r="F25" s="4"/>
      <c r="H25" s="4"/>
      <c r="I25" s="4"/>
      <c r="J25" s="4"/>
      <c r="K25" s="4"/>
      <c r="L25" s="4"/>
      <c r="M25" s="4"/>
      <c r="N25" s="4"/>
      <c r="O25" s="4"/>
      <c r="P25" s="4"/>
      <c r="Q25" s="4"/>
      <c r="R25" s="4"/>
      <c r="S25" s="4"/>
      <c r="T25" s="4"/>
      <c r="U25" s="4"/>
      <c r="V25" s="4"/>
      <c r="W25" s="4"/>
      <c r="X25" s="4"/>
      <c r="Y25" s="4"/>
      <c r="Z25" s="4"/>
    </row>
    <row r="26" ht="30.0" customHeight="1">
      <c r="A26" s="4"/>
      <c r="B26" s="38" t="s">
        <v>41</v>
      </c>
      <c r="D26" s="4"/>
      <c r="E26" s="4"/>
      <c r="F26" s="4"/>
      <c r="H26" s="4"/>
      <c r="I26" s="4"/>
      <c r="J26" s="4"/>
      <c r="K26" s="4"/>
      <c r="L26" s="4"/>
      <c r="M26" s="4"/>
      <c r="N26" s="4"/>
      <c r="O26" s="4"/>
      <c r="P26" s="4"/>
      <c r="Q26" s="4"/>
      <c r="R26" s="4"/>
      <c r="S26" s="4"/>
      <c r="T26" s="4"/>
      <c r="U26" s="4"/>
      <c r="V26" s="4"/>
      <c r="W26" s="4"/>
      <c r="X26" s="4"/>
      <c r="Y26" s="4"/>
      <c r="Z26" s="4"/>
    </row>
    <row r="27" ht="19.5" customHeight="1">
      <c r="A27" s="4"/>
      <c r="B27" s="4"/>
      <c r="C27" s="4"/>
      <c r="D27" s="4"/>
      <c r="E27" s="4"/>
      <c r="F27" s="4"/>
      <c r="H27" s="4"/>
      <c r="I27" s="4"/>
      <c r="J27" s="4"/>
      <c r="K27" s="4"/>
      <c r="L27" s="4"/>
      <c r="M27" s="4"/>
      <c r="N27" s="4"/>
      <c r="O27" s="4"/>
      <c r="P27" s="4"/>
      <c r="Q27" s="4"/>
      <c r="R27" s="4"/>
      <c r="S27" s="4"/>
      <c r="T27" s="4"/>
      <c r="U27" s="4"/>
      <c r="V27" s="4"/>
      <c r="W27" s="4"/>
      <c r="X27" s="4"/>
      <c r="Y27" s="4"/>
      <c r="Z27" s="4"/>
    </row>
    <row r="28" ht="49.5" customHeight="1">
      <c r="A28" s="4"/>
      <c r="B28" s="42"/>
      <c r="C28" s="4"/>
      <c r="D28" s="4"/>
      <c r="E28" s="4"/>
      <c r="F28" s="4"/>
      <c r="H28" s="43"/>
      <c r="I28" s="4"/>
      <c r="J28" s="4"/>
      <c r="K28" s="4"/>
      <c r="L28" s="4"/>
      <c r="M28" s="4"/>
      <c r="N28" s="4"/>
      <c r="O28" s="4"/>
      <c r="P28" s="4"/>
      <c r="Q28" s="4"/>
      <c r="R28" s="4"/>
      <c r="S28" s="4"/>
      <c r="T28" s="4"/>
      <c r="U28" s="4"/>
      <c r="V28" s="4"/>
      <c r="W28" s="4"/>
      <c r="X28" s="4"/>
      <c r="Y28" s="4"/>
      <c r="Z28" s="4"/>
    </row>
    <row r="29" ht="49.5" customHeight="1">
      <c r="A29" s="4"/>
      <c r="B29" s="4"/>
      <c r="C29" s="42"/>
      <c r="D29" s="4"/>
      <c r="E29" s="4"/>
      <c r="F29" s="4"/>
      <c r="H29" s="4"/>
      <c r="I29" s="4"/>
      <c r="J29" s="4"/>
      <c r="K29" s="4"/>
      <c r="L29" s="4"/>
      <c r="M29" s="4"/>
      <c r="N29" s="4"/>
      <c r="O29" s="4"/>
      <c r="P29" s="4"/>
      <c r="Q29" s="4"/>
      <c r="R29" s="4"/>
      <c r="S29" s="4"/>
      <c r="T29" s="4"/>
      <c r="U29" s="4"/>
      <c r="V29" s="4"/>
      <c r="W29" s="4"/>
      <c r="X29" s="4"/>
      <c r="Y29" s="4"/>
      <c r="Z29" s="4"/>
    </row>
    <row r="30" ht="49.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99.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45.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9.5" customHeight="1">
      <c r="A36" s="4"/>
      <c r="B36" s="40" t="s">
        <v>42</v>
      </c>
      <c r="C36" s="4"/>
      <c r="D36" s="4"/>
      <c r="E36" s="4"/>
      <c r="F36" s="4"/>
      <c r="G36" s="4"/>
      <c r="H36" s="4"/>
      <c r="I36" s="4"/>
      <c r="J36" s="4"/>
      <c r="K36" s="4"/>
      <c r="L36" s="4"/>
      <c r="M36" s="4"/>
      <c r="N36" s="4"/>
      <c r="O36" s="4"/>
      <c r="P36" s="4"/>
      <c r="Q36" s="4"/>
      <c r="R36" s="4"/>
      <c r="S36" s="4"/>
      <c r="T36" s="4"/>
      <c r="U36" s="4"/>
      <c r="V36" s="4"/>
      <c r="W36" s="4"/>
      <c r="X36" s="4"/>
      <c r="Y36" s="4"/>
      <c r="Z36" s="4"/>
    </row>
    <row r="37" ht="22.5" customHeight="1">
      <c r="A37" s="4"/>
      <c r="B37" s="44" t="s">
        <v>43</v>
      </c>
      <c r="C37" s="4"/>
      <c r="D37" s="4"/>
      <c r="E37" s="4"/>
      <c r="F37" s="4"/>
      <c r="G37" s="4"/>
      <c r="H37" s="4"/>
      <c r="I37" s="4"/>
      <c r="J37" s="4"/>
      <c r="K37" s="4"/>
      <c r="L37" s="4"/>
      <c r="M37" s="4"/>
      <c r="N37" s="4"/>
      <c r="O37" s="4"/>
      <c r="P37" s="4"/>
      <c r="Q37" s="4"/>
      <c r="R37" s="4"/>
      <c r="S37" s="4"/>
      <c r="T37" s="4"/>
      <c r="U37" s="4"/>
      <c r="V37" s="4"/>
      <c r="W37" s="4"/>
      <c r="X37" s="4"/>
      <c r="Y37" s="4"/>
      <c r="Z37" s="4"/>
    </row>
    <row r="38" ht="19.5" customHeight="1">
      <c r="A38" s="4"/>
      <c r="B38" s="44" t="s">
        <v>44</v>
      </c>
      <c r="C38" s="4"/>
      <c r="D38" s="4"/>
      <c r="E38" s="4"/>
      <c r="F38" s="4"/>
      <c r="G38" s="4"/>
      <c r="H38" s="4"/>
      <c r="I38" s="4"/>
      <c r="J38" s="4"/>
      <c r="K38" s="4"/>
      <c r="L38" s="4"/>
      <c r="M38" s="4"/>
      <c r="N38" s="4"/>
      <c r="O38" s="4"/>
      <c r="P38" s="4"/>
      <c r="Q38" s="4"/>
      <c r="R38" s="4"/>
      <c r="S38" s="4"/>
      <c r="T38" s="4"/>
      <c r="U38" s="4"/>
      <c r="V38" s="4"/>
      <c r="W38" s="4"/>
      <c r="X38" s="4"/>
      <c r="Y38" s="4"/>
      <c r="Z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6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0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30.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00.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13.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5.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65.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87.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0.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72.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54.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22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4.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4.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9.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70.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4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0.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4.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3.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6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65.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4.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4.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4.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4.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4.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4.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4.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4.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sheetData>
  <mergeCells count="20">
    <mergeCell ref="A1:D2"/>
    <mergeCell ref="E1:E2"/>
    <mergeCell ref="A3:D3"/>
    <mergeCell ref="A4:D4"/>
    <mergeCell ref="A5:D5"/>
    <mergeCell ref="B6:C6"/>
    <mergeCell ref="B7:C7"/>
    <mergeCell ref="B15:C15"/>
    <mergeCell ref="B16:C16"/>
    <mergeCell ref="B17:C17"/>
    <mergeCell ref="A18:C18"/>
    <mergeCell ref="B19:C19"/>
    <mergeCell ref="B26:C26"/>
    <mergeCell ref="B8:C8"/>
    <mergeCell ref="B9:C9"/>
    <mergeCell ref="B10:C10"/>
    <mergeCell ref="B11:C11"/>
    <mergeCell ref="B12:C12"/>
    <mergeCell ref="B13:C13"/>
    <mergeCell ref="B14:C14"/>
  </mergeCells>
  <printOptions/>
  <pageMargins bottom="0.25" footer="0.0" header="0.0" left="0.25" right="0.25" top="0.25"/>
  <pageSetup scale="9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2.11"/>
    <col customWidth="1" min="2" max="2" width="4.67"/>
    <col customWidth="1" min="3" max="3" width="55.89"/>
    <col customWidth="1" min="4" max="4" width="4.56"/>
    <col customWidth="1" min="5" max="11" width="5.11"/>
    <col customWidth="1" min="12" max="12" width="30.67"/>
    <col customWidth="1" min="13" max="32" width="8.78"/>
  </cols>
  <sheetData>
    <row r="1" ht="30.0" customHeight="1">
      <c r="A1" s="45" t="s">
        <v>45</v>
      </c>
      <c r="B1" s="2"/>
      <c r="C1" s="2"/>
      <c r="D1" s="46"/>
      <c r="E1" s="47" t="s">
        <v>46</v>
      </c>
      <c r="F1" s="2"/>
      <c r="G1" s="2"/>
      <c r="H1" s="2"/>
      <c r="I1" s="2"/>
      <c r="J1" s="2"/>
      <c r="K1" s="2"/>
      <c r="L1" s="46"/>
      <c r="M1" s="4"/>
      <c r="N1" s="4"/>
      <c r="O1" s="4"/>
      <c r="P1" s="4"/>
      <c r="Q1" s="4"/>
      <c r="R1" s="4"/>
      <c r="S1" s="4"/>
      <c r="T1" s="4"/>
      <c r="U1" s="4"/>
      <c r="V1" s="4"/>
      <c r="W1" s="4"/>
      <c r="X1" s="4"/>
      <c r="Y1" s="4"/>
      <c r="Z1" s="4"/>
      <c r="AA1" s="4"/>
      <c r="AB1" s="4"/>
      <c r="AC1" s="4"/>
      <c r="AD1" s="4"/>
      <c r="AE1" s="4"/>
      <c r="AF1" s="4"/>
    </row>
    <row r="2" ht="30.0" customHeight="1">
      <c r="A2" s="5"/>
      <c r="B2" s="6"/>
      <c r="C2" s="6"/>
      <c r="D2" s="48"/>
      <c r="E2" s="5"/>
      <c r="F2" s="6"/>
      <c r="G2" s="6"/>
      <c r="H2" s="6"/>
      <c r="I2" s="6"/>
      <c r="J2" s="6"/>
      <c r="K2" s="6"/>
      <c r="L2" s="48"/>
      <c r="M2" s="4"/>
      <c r="N2" s="4"/>
      <c r="O2" s="4"/>
      <c r="P2" s="4"/>
      <c r="Q2" s="4"/>
      <c r="R2" s="4"/>
      <c r="S2" s="4"/>
      <c r="T2" s="4"/>
      <c r="U2" s="4"/>
      <c r="V2" s="4"/>
      <c r="W2" s="4"/>
      <c r="X2" s="4"/>
      <c r="Y2" s="4"/>
      <c r="Z2" s="4"/>
      <c r="AA2" s="4"/>
      <c r="AB2" s="4"/>
      <c r="AC2" s="4"/>
      <c r="AD2" s="4"/>
      <c r="AE2" s="4"/>
      <c r="AF2" s="4"/>
    </row>
    <row r="3" ht="18.0" customHeight="1">
      <c r="A3" s="12" t="s">
        <v>2</v>
      </c>
      <c r="B3" s="13"/>
      <c r="C3" s="13"/>
      <c r="D3" s="20"/>
      <c r="E3" s="12" t="s">
        <v>3</v>
      </c>
      <c r="F3" s="13"/>
      <c r="G3" s="13"/>
      <c r="H3" s="13"/>
      <c r="I3" s="13"/>
      <c r="J3" s="13"/>
      <c r="K3" s="13"/>
      <c r="L3" s="20"/>
      <c r="T3" s="4"/>
      <c r="U3" s="4"/>
      <c r="V3" s="4"/>
      <c r="W3" s="4"/>
      <c r="X3" s="4"/>
      <c r="Y3" s="4"/>
      <c r="Z3" s="4"/>
      <c r="AA3" s="4"/>
      <c r="AB3" s="4"/>
      <c r="AC3" s="4"/>
      <c r="AD3" s="4"/>
      <c r="AE3" s="4"/>
      <c r="AF3" s="4"/>
    </row>
    <row r="4" ht="18.0" customHeight="1">
      <c r="A4" s="12" t="s">
        <v>4</v>
      </c>
      <c r="B4" s="13"/>
      <c r="C4" s="13"/>
      <c r="D4" s="20"/>
      <c r="E4" s="49" t="s">
        <v>5</v>
      </c>
      <c r="F4" s="13"/>
      <c r="G4" s="13"/>
      <c r="H4" s="13"/>
      <c r="I4" s="13"/>
      <c r="J4" s="13"/>
      <c r="K4" s="13"/>
      <c r="L4" s="20"/>
      <c r="T4" s="4"/>
      <c r="U4" s="4"/>
      <c r="V4" s="4"/>
      <c r="W4" s="4"/>
      <c r="X4" s="4"/>
      <c r="Y4" s="4"/>
      <c r="Z4" s="4"/>
      <c r="AA4" s="4"/>
      <c r="AB4" s="4"/>
      <c r="AC4" s="4"/>
      <c r="AD4" s="4"/>
      <c r="AE4" s="4"/>
      <c r="AF4" s="4"/>
    </row>
    <row r="5" ht="18.0" customHeight="1">
      <c r="A5" s="49" t="s">
        <v>6</v>
      </c>
      <c r="B5" s="13"/>
      <c r="C5" s="13"/>
      <c r="D5" s="20"/>
      <c r="E5" s="50" t="s">
        <v>7</v>
      </c>
      <c r="F5" s="13"/>
      <c r="G5" s="13"/>
      <c r="H5" s="13"/>
      <c r="I5" s="13"/>
      <c r="J5" s="13"/>
      <c r="K5" s="13"/>
      <c r="L5" s="20"/>
      <c r="T5" s="4"/>
      <c r="U5" s="4"/>
      <c r="V5" s="4"/>
      <c r="W5" s="4"/>
      <c r="X5" s="4"/>
      <c r="Y5" s="4"/>
      <c r="Z5" s="4"/>
      <c r="AA5" s="4"/>
      <c r="AB5" s="4"/>
      <c r="AC5" s="4"/>
      <c r="AD5" s="4"/>
      <c r="AE5" s="4"/>
      <c r="AF5" s="4"/>
    </row>
    <row r="6" ht="13.5" customHeight="1">
      <c r="A6" s="4"/>
      <c r="B6" s="28"/>
      <c r="C6" s="29"/>
      <c r="D6" s="30"/>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ht="27.75" customHeight="1">
      <c r="A7" s="28"/>
      <c r="B7" s="51" t="s">
        <v>47</v>
      </c>
      <c r="C7" s="52"/>
      <c r="D7" s="52"/>
      <c r="E7" s="53" t="s">
        <v>48</v>
      </c>
      <c r="F7" s="54"/>
      <c r="G7" s="54"/>
      <c r="H7" s="54"/>
      <c r="I7" s="54"/>
      <c r="J7" s="55"/>
      <c r="K7" s="53"/>
      <c r="L7" s="56" t="s">
        <v>49</v>
      </c>
      <c r="M7" s="28"/>
      <c r="N7" s="28"/>
      <c r="O7" s="28"/>
      <c r="P7" s="28"/>
      <c r="Q7" s="28"/>
      <c r="R7" s="28"/>
      <c r="S7" s="28"/>
      <c r="T7" s="28"/>
      <c r="U7" s="28"/>
      <c r="V7" s="28"/>
      <c r="W7" s="28"/>
      <c r="X7" s="28"/>
      <c r="Y7" s="28"/>
      <c r="Z7" s="28"/>
      <c r="AA7" s="28"/>
      <c r="AB7" s="28"/>
      <c r="AC7" s="28"/>
      <c r="AD7" s="28"/>
      <c r="AE7" s="28"/>
      <c r="AF7" s="28"/>
    </row>
    <row r="8" ht="22.5" customHeight="1">
      <c r="A8" s="28"/>
      <c r="B8" s="57" t="s">
        <v>8</v>
      </c>
      <c r="C8" s="58" t="s">
        <v>50</v>
      </c>
      <c r="D8" s="58">
        <v>1.0</v>
      </c>
      <c r="E8" s="58">
        <v>2.0</v>
      </c>
      <c r="F8" s="58">
        <v>3.0</v>
      </c>
      <c r="G8" s="58">
        <v>4.0</v>
      </c>
      <c r="H8" s="58">
        <v>5.0</v>
      </c>
      <c r="I8" s="58">
        <v>6.0</v>
      </c>
      <c r="J8" s="59">
        <v>7.0</v>
      </c>
      <c r="K8" s="59">
        <v>8.0</v>
      </c>
      <c r="L8" s="60"/>
      <c r="M8" s="28"/>
      <c r="N8" s="28"/>
      <c r="O8" s="28"/>
      <c r="P8" s="28"/>
      <c r="Q8" s="28"/>
      <c r="R8" s="28"/>
      <c r="S8" s="28"/>
      <c r="T8" s="28"/>
      <c r="U8" s="28"/>
      <c r="V8" s="28"/>
      <c r="W8" s="28"/>
      <c r="X8" s="28"/>
      <c r="Y8" s="28"/>
      <c r="Z8" s="28"/>
      <c r="AA8" s="28"/>
      <c r="AB8" s="28"/>
      <c r="AC8" s="28"/>
      <c r="AD8" s="28"/>
      <c r="AE8" s="28"/>
      <c r="AF8" s="28"/>
    </row>
    <row r="9" ht="81.75" customHeight="1">
      <c r="A9" s="28"/>
      <c r="B9" s="61">
        <v>1.0</v>
      </c>
      <c r="C9" s="62" t="s">
        <v>51</v>
      </c>
      <c r="D9" s="63"/>
      <c r="E9" s="64"/>
      <c r="F9" s="64"/>
      <c r="G9" s="64"/>
      <c r="H9" s="64"/>
      <c r="I9" s="64"/>
      <c r="J9" s="64"/>
      <c r="K9" s="64"/>
      <c r="L9" s="65" t="s">
        <v>52</v>
      </c>
      <c r="M9" s="28"/>
      <c r="N9" s="28"/>
      <c r="O9" s="28"/>
      <c r="P9" s="28"/>
      <c r="Q9" s="28"/>
      <c r="R9" s="28"/>
      <c r="S9" s="28"/>
      <c r="T9" s="28"/>
      <c r="U9" s="28"/>
      <c r="V9" s="28"/>
      <c r="W9" s="28"/>
      <c r="X9" s="28"/>
      <c r="Y9" s="28"/>
      <c r="Z9" s="28"/>
      <c r="AA9" s="28"/>
      <c r="AB9" s="28"/>
      <c r="AC9" s="28"/>
      <c r="AD9" s="28"/>
      <c r="AE9" s="28"/>
      <c r="AF9" s="28"/>
    </row>
    <row r="10" ht="57.0" customHeight="1">
      <c r="A10" s="28"/>
      <c r="B10" s="61">
        <v>2.0</v>
      </c>
      <c r="C10" s="62" t="s">
        <v>53</v>
      </c>
      <c r="D10" s="63"/>
      <c r="E10" s="63"/>
      <c r="F10" s="64"/>
      <c r="G10" s="64"/>
      <c r="H10" s="64"/>
      <c r="I10" s="64"/>
      <c r="J10" s="64"/>
      <c r="K10" s="64"/>
      <c r="L10" s="65" t="s">
        <v>54</v>
      </c>
      <c r="M10" s="28"/>
      <c r="N10" s="28"/>
      <c r="O10" s="28"/>
      <c r="P10" s="28"/>
      <c r="Q10" s="28"/>
      <c r="R10" s="28"/>
      <c r="S10" s="28"/>
      <c r="T10" s="28"/>
      <c r="U10" s="28"/>
      <c r="V10" s="28"/>
      <c r="W10" s="28"/>
      <c r="X10" s="28"/>
      <c r="Y10" s="28"/>
      <c r="Z10" s="28"/>
      <c r="AA10" s="28"/>
      <c r="AB10" s="28"/>
      <c r="AC10" s="28"/>
      <c r="AD10" s="28"/>
      <c r="AE10" s="28"/>
      <c r="AF10" s="28"/>
    </row>
    <row r="11" ht="76.5" customHeight="1">
      <c r="A11" s="28"/>
      <c r="B11" s="61">
        <v>3.0</v>
      </c>
      <c r="C11" s="62" t="s">
        <v>55</v>
      </c>
      <c r="D11" s="63"/>
      <c r="E11" s="63"/>
      <c r="F11" s="63"/>
      <c r="G11" s="64"/>
      <c r="H11" s="64"/>
      <c r="I11" s="64"/>
      <c r="J11" s="64"/>
      <c r="K11" s="64"/>
      <c r="L11" s="66" t="s">
        <v>56</v>
      </c>
      <c r="M11" s="28"/>
      <c r="N11" s="28"/>
      <c r="O11" s="28"/>
      <c r="P11" s="28"/>
      <c r="Q11" s="28"/>
      <c r="R11" s="28"/>
      <c r="S11" s="28"/>
      <c r="T11" s="28"/>
      <c r="U11" s="28"/>
      <c r="V11" s="28"/>
      <c r="W11" s="28"/>
      <c r="X11" s="28"/>
      <c r="Y11" s="28"/>
      <c r="Z11" s="28"/>
      <c r="AA11" s="28"/>
      <c r="AB11" s="28"/>
      <c r="AC11" s="28"/>
      <c r="AD11" s="28"/>
      <c r="AE11" s="28"/>
      <c r="AF11" s="28"/>
    </row>
    <row r="12" ht="72.0" customHeight="1">
      <c r="A12" s="28"/>
      <c r="B12" s="61">
        <v>4.0</v>
      </c>
      <c r="C12" s="62" t="s">
        <v>57</v>
      </c>
      <c r="D12" s="63"/>
      <c r="E12" s="63"/>
      <c r="F12" s="63"/>
      <c r="G12" s="63"/>
      <c r="H12" s="64"/>
      <c r="I12" s="64"/>
      <c r="J12" s="64"/>
      <c r="K12" s="64"/>
      <c r="L12" s="66" t="s">
        <v>58</v>
      </c>
      <c r="M12" s="28"/>
      <c r="N12" s="28"/>
      <c r="O12" s="28"/>
      <c r="P12" s="28"/>
      <c r="Q12" s="28"/>
      <c r="R12" s="28"/>
      <c r="S12" s="28"/>
      <c r="T12" s="28"/>
      <c r="U12" s="28"/>
      <c r="V12" s="28"/>
      <c r="W12" s="28"/>
      <c r="X12" s="28"/>
      <c r="Y12" s="28"/>
      <c r="Z12" s="28"/>
      <c r="AA12" s="28"/>
      <c r="AB12" s="28"/>
      <c r="AC12" s="28"/>
      <c r="AD12" s="28"/>
      <c r="AE12" s="28"/>
      <c r="AF12" s="28"/>
    </row>
    <row r="13" ht="60.0" customHeight="1">
      <c r="A13" s="28"/>
      <c r="B13" s="61">
        <v>5.0</v>
      </c>
      <c r="C13" s="62" t="s">
        <v>59</v>
      </c>
      <c r="D13" s="64"/>
      <c r="E13" s="63"/>
      <c r="F13" s="63"/>
      <c r="G13" s="63"/>
      <c r="H13" s="63"/>
      <c r="I13" s="64"/>
      <c r="J13" s="64"/>
      <c r="K13" s="64"/>
      <c r="L13" s="66" t="s">
        <v>60</v>
      </c>
      <c r="M13" s="28"/>
      <c r="N13" s="28"/>
      <c r="O13" s="28"/>
      <c r="P13" s="28"/>
      <c r="Q13" s="28"/>
      <c r="R13" s="28"/>
      <c r="S13" s="28"/>
      <c r="T13" s="28"/>
      <c r="U13" s="28"/>
      <c r="V13" s="28"/>
      <c r="W13" s="28"/>
      <c r="X13" s="28"/>
      <c r="Y13" s="28"/>
      <c r="Z13" s="28"/>
      <c r="AA13" s="28"/>
      <c r="AB13" s="28"/>
      <c r="AC13" s="28"/>
      <c r="AD13" s="28"/>
      <c r="AE13" s="28"/>
      <c r="AF13" s="28"/>
    </row>
    <row r="14" ht="56.25" customHeight="1">
      <c r="A14" s="28"/>
      <c r="B14" s="61">
        <v>6.0</v>
      </c>
      <c r="C14" s="62" t="s">
        <v>61</v>
      </c>
      <c r="D14" s="64"/>
      <c r="E14" s="63"/>
      <c r="F14" s="63"/>
      <c r="G14" s="63"/>
      <c r="H14" s="63"/>
      <c r="I14" s="63"/>
      <c r="J14" s="64"/>
      <c r="K14" s="64"/>
      <c r="L14" s="66" t="s">
        <v>62</v>
      </c>
      <c r="M14" s="28"/>
      <c r="N14" s="28"/>
      <c r="O14" s="28"/>
      <c r="P14" s="28"/>
      <c r="Q14" s="28"/>
      <c r="R14" s="28"/>
      <c r="S14" s="28"/>
      <c r="T14" s="28"/>
      <c r="U14" s="28"/>
      <c r="V14" s="28"/>
      <c r="W14" s="28"/>
      <c r="X14" s="28"/>
      <c r="Y14" s="28"/>
      <c r="Z14" s="28"/>
      <c r="AA14" s="28"/>
      <c r="AB14" s="28"/>
      <c r="AC14" s="28"/>
      <c r="AD14" s="28"/>
      <c r="AE14" s="28"/>
      <c r="AF14" s="28"/>
    </row>
    <row r="15" ht="82.5" customHeight="1">
      <c r="A15" s="28"/>
      <c r="B15" s="67">
        <v>7.0</v>
      </c>
      <c r="C15" s="68" t="s">
        <v>63</v>
      </c>
      <c r="D15" s="64"/>
      <c r="E15" s="63"/>
      <c r="F15" s="63"/>
      <c r="G15" s="63"/>
      <c r="H15" s="63"/>
      <c r="I15" s="63"/>
      <c r="J15" s="63"/>
      <c r="K15" s="64"/>
      <c r="L15" s="66" t="s">
        <v>64</v>
      </c>
      <c r="M15" s="28"/>
      <c r="N15" s="28"/>
      <c r="O15" s="28"/>
      <c r="P15" s="28"/>
      <c r="Q15" s="28"/>
      <c r="R15" s="28"/>
      <c r="S15" s="28"/>
      <c r="T15" s="28"/>
      <c r="U15" s="28"/>
      <c r="V15" s="28"/>
      <c r="W15" s="28"/>
      <c r="X15" s="28"/>
      <c r="Y15" s="28"/>
      <c r="Z15" s="28"/>
      <c r="AA15" s="28"/>
      <c r="AB15" s="28"/>
      <c r="AC15" s="28"/>
      <c r="AD15" s="28"/>
      <c r="AE15" s="28"/>
      <c r="AF15" s="28"/>
    </row>
    <row r="16" ht="111.0" customHeight="1">
      <c r="A16" s="28"/>
      <c r="B16" s="69">
        <v>8.0</v>
      </c>
      <c r="C16" s="70" t="s">
        <v>65</v>
      </c>
      <c r="D16" s="71"/>
      <c r="E16" s="71"/>
      <c r="F16" s="64"/>
      <c r="G16" s="64"/>
      <c r="H16" s="63"/>
      <c r="I16" s="63"/>
      <c r="J16" s="63"/>
      <c r="K16" s="63"/>
      <c r="L16" s="66" t="s">
        <v>66</v>
      </c>
      <c r="M16" s="28"/>
      <c r="N16" s="28"/>
      <c r="O16" s="28"/>
      <c r="P16" s="28"/>
      <c r="Q16" s="28"/>
      <c r="R16" s="28"/>
      <c r="S16" s="28"/>
      <c r="T16" s="28"/>
      <c r="U16" s="28"/>
      <c r="V16" s="28"/>
      <c r="W16" s="28"/>
      <c r="X16" s="28"/>
      <c r="Y16" s="28"/>
      <c r="Z16" s="28"/>
      <c r="AA16" s="28"/>
      <c r="AB16" s="28"/>
      <c r="AC16" s="28"/>
      <c r="AD16" s="28"/>
      <c r="AE16" s="28"/>
      <c r="AF16" s="28"/>
    </row>
    <row r="17" ht="63.75" customHeight="1">
      <c r="A17" s="28"/>
      <c r="B17" s="72">
        <v>9.0</v>
      </c>
      <c r="C17" s="73" t="s">
        <v>67</v>
      </c>
      <c r="D17" s="74"/>
      <c r="E17" s="75"/>
      <c r="F17" s="75"/>
      <c r="G17" s="76"/>
      <c r="H17" s="76"/>
      <c r="I17" s="76"/>
      <c r="J17" s="76"/>
      <c r="K17" s="77"/>
      <c r="L17" s="78" t="s">
        <v>68</v>
      </c>
      <c r="M17" s="28"/>
      <c r="N17" s="28"/>
      <c r="O17" s="28"/>
      <c r="P17" s="28"/>
      <c r="Q17" s="28"/>
      <c r="R17" s="28"/>
      <c r="S17" s="28"/>
      <c r="T17" s="28"/>
      <c r="U17" s="28"/>
      <c r="V17" s="28"/>
      <c r="W17" s="28"/>
      <c r="X17" s="28"/>
      <c r="Y17" s="28"/>
      <c r="Z17" s="28"/>
      <c r="AA17" s="28"/>
      <c r="AB17" s="28"/>
      <c r="AC17" s="28"/>
      <c r="AD17" s="28"/>
      <c r="AE17" s="28"/>
      <c r="AF17" s="28"/>
    </row>
    <row r="18" ht="19.5" customHeight="1">
      <c r="A18" s="4"/>
      <c r="B18" s="79"/>
      <c r="C18" s="80"/>
      <c r="D18" s="81"/>
      <c r="E18" s="80"/>
      <c r="F18" s="80"/>
      <c r="G18" s="80"/>
      <c r="H18" s="80"/>
      <c r="I18" s="80"/>
      <c r="J18" s="80"/>
      <c r="K18" s="82"/>
      <c r="L18" s="83"/>
      <c r="M18" s="4"/>
      <c r="N18" s="4"/>
      <c r="O18" s="4"/>
      <c r="P18" s="4"/>
      <c r="Q18" s="4"/>
      <c r="R18" s="4"/>
      <c r="S18" s="4"/>
      <c r="T18" s="4"/>
      <c r="U18" s="4"/>
      <c r="V18" s="4"/>
      <c r="W18" s="4"/>
      <c r="X18" s="4"/>
      <c r="Y18" s="4"/>
      <c r="Z18" s="4"/>
      <c r="AA18" s="4"/>
      <c r="AB18" s="4"/>
      <c r="AC18" s="4"/>
      <c r="AD18" s="4"/>
      <c r="AE18" s="4"/>
      <c r="AF18" s="4"/>
    </row>
    <row r="19" ht="19.5" customHeight="1">
      <c r="A19" s="4"/>
      <c r="B19" s="84"/>
      <c r="C19" s="84"/>
      <c r="D19" s="8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ht="19.5" customHeight="1">
      <c r="A20" s="4"/>
      <c r="B20" s="84" t="s">
        <v>69</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ht="19.5" customHeight="1">
      <c r="A21" s="4"/>
      <c r="B21" s="84" t="s">
        <v>70</v>
      </c>
      <c r="C21" s="84"/>
      <c r="D21" s="8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ht="19.5" customHeight="1">
      <c r="A22" s="4"/>
      <c r="B22" s="84" t="s">
        <v>71</v>
      </c>
      <c r="C22" s="84"/>
      <c r="D22" s="8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ht="18.75" customHeight="1">
      <c r="A23" s="4"/>
      <c r="B23" s="85" t="s">
        <v>72</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ht="19.5" customHeight="1">
      <c r="A24" s="4"/>
      <c r="B24" s="86" t="s">
        <v>73</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ht="21.0" customHeight="1">
      <c r="A25" s="4"/>
      <c r="B25" s="86"/>
      <c r="C25" s="87" t="s">
        <v>74</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ht="21.0" customHeight="1">
      <c r="A26" s="4"/>
      <c r="B26" s="86"/>
      <c r="C26" s="28" t="s">
        <v>75</v>
      </c>
      <c r="I26" s="4"/>
      <c r="J26" s="4"/>
      <c r="K26" s="4"/>
      <c r="L26" s="4"/>
      <c r="M26" s="4"/>
      <c r="N26" s="4"/>
      <c r="O26" s="4"/>
      <c r="P26" s="4"/>
      <c r="Q26" s="4"/>
      <c r="R26" s="4"/>
      <c r="S26" s="4"/>
      <c r="T26" s="4"/>
      <c r="U26" s="4"/>
      <c r="V26" s="4"/>
      <c r="W26" s="4"/>
      <c r="X26" s="4"/>
      <c r="Y26" s="4"/>
      <c r="Z26" s="4"/>
      <c r="AA26" s="4"/>
      <c r="AB26" s="4"/>
      <c r="AC26" s="4"/>
      <c r="AD26" s="4"/>
      <c r="AE26" s="4"/>
      <c r="AF26" s="4"/>
    </row>
    <row r="27" ht="21.0" customHeight="1">
      <c r="A27" s="4"/>
      <c r="B27" s="86"/>
      <c r="I27" s="4"/>
      <c r="J27" s="4"/>
      <c r="K27" s="4"/>
      <c r="L27" s="4"/>
      <c r="M27" s="4"/>
      <c r="N27" s="4"/>
      <c r="O27" s="4"/>
      <c r="P27" s="4"/>
      <c r="Q27" s="4"/>
      <c r="R27" s="4"/>
      <c r="S27" s="4"/>
      <c r="T27" s="4"/>
      <c r="U27" s="4"/>
      <c r="V27" s="4"/>
      <c r="W27" s="4"/>
      <c r="X27" s="4"/>
      <c r="Y27" s="4"/>
      <c r="Z27" s="4"/>
      <c r="AA27" s="4"/>
      <c r="AB27" s="4"/>
      <c r="AC27" s="4"/>
      <c r="AD27" s="4"/>
      <c r="AE27" s="4"/>
      <c r="AF27" s="4"/>
    </row>
    <row r="28" ht="21.0" customHeight="1">
      <c r="A28" s="4"/>
      <c r="B28" s="86"/>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ht="21.0" customHeight="1">
      <c r="A29" s="4"/>
      <c r="B29" s="86"/>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ht="49.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ht="49.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ht="99.0"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ht="116.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ht="138.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ht="6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ht="108.0"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ht="30.0"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ht="100.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ht="113.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ht="35.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ht="65.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ht="87.0"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ht="30.0"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ht="72.0"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ht="54.0"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ht="22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ht="34.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ht="124.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ht="129.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ht="270.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ht="4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ht="190.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34.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33.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6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65.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34.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34.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34.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34.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34.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34.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34.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34.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row>
  </sheetData>
  <mergeCells count="13">
    <mergeCell ref="E5:L5"/>
    <mergeCell ref="E7:J7"/>
    <mergeCell ref="L7:L8"/>
    <mergeCell ref="B20:D20"/>
    <mergeCell ref="B23:C23"/>
    <mergeCell ref="C26:H27"/>
    <mergeCell ref="A1:D2"/>
    <mergeCell ref="E1:L2"/>
    <mergeCell ref="A3:D3"/>
    <mergeCell ref="E3:L3"/>
    <mergeCell ref="A4:D4"/>
    <mergeCell ref="E4:L4"/>
    <mergeCell ref="A5:D5"/>
  </mergeCells>
  <printOptions/>
  <pageMargins bottom="0.25" footer="0.0" header="0.0" left="0.25" right="0.25" top="0.25"/>
  <pageSetup scale="9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19.0"/>
    <col customWidth="1" min="3" max="3" width="60.78"/>
    <col customWidth="1" min="4" max="4" width="10.56"/>
    <col customWidth="1" min="5" max="5" width="11.0"/>
    <col customWidth="1" min="6" max="6" width="60.78"/>
    <col customWidth="1" min="7" max="26" width="10.56"/>
  </cols>
  <sheetData>
    <row r="1" ht="19.5" customHeight="1">
      <c r="A1" s="88"/>
      <c r="B1" s="89"/>
      <c r="C1" s="90" t="s">
        <v>76</v>
      </c>
      <c r="D1" s="2"/>
      <c r="E1" s="46"/>
      <c r="F1" s="91" t="s">
        <v>77</v>
      </c>
    </row>
    <row r="2" ht="19.5" customHeight="1">
      <c r="A2" s="92"/>
      <c r="B2" s="93"/>
      <c r="C2" s="92"/>
      <c r="E2" s="94"/>
      <c r="F2" s="95"/>
    </row>
    <row r="3" ht="19.5" customHeight="1">
      <c r="A3" s="96"/>
      <c r="B3" s="97"/>
      <c r="C3" s="92"/>
      <c r="E3" s="94"/>
      <c r="F3" s="98"/>
    </row>
    <row r="4" ht="18.0" customHeight="1">
      <c r="A4" s="99" t="s">
        <v>78</v>
      </c>
      <c r="B4" s="9"/>
      <c r="C4" s="9"/>
      <c r="D4" s="100" t="s">
        <v>79</v>
      </c>
      <c r="E4" s="101"/>
      <c r="F4" s="102"/>
    </row>
    <row r="5" ht="18.0" customHeight="1">
      <c r="A5" s="50" t="s">
        <v>80</v>
      </c>
      <c r="B5" s="13"/>
      <c r="C5" s="13"/>
      <c r="D5" s="100" t="s">
        <v>81</v>
      </c>
      <c r="E5" s="101"/>
      <c r="F5" s="102"/>
    </row>
    <row r="6" ht="18.0" customHeight="1">
      <c r="A6" s="103" t="s">
        <v>82</v>
      </c>
      <c r="B6" s="15"/>
      <c r="C6" s="15"/>
      <c r="D6" s="100" t="s">
        <v>7</v>
      </c>
      <c r="E6" s="101"/>
      <c r="F6" s="102"/>
    </row>
    <row r="7" ht="15.75" customHeight="1">
      <c r="A7" s="104" t="s">
        <v>8</v>
      </c>
      <c r="B7" s="105" t="s">
        <v>83</v>
      </c>
      <c r="C7" s="89"/>
      <c r="D7" s="106" t="s">
        <v>84</v>
      </c>
      <c r="E7" s="102"/>
      <c r="F7" s="104" t="s">
        <v>49</v>
      </c>
    </row>
    <row r="8" ht="15.75" customHeight="1">
      <c r="A8" s="107"/>
      <c r="B8" s="96"/>
      <c r="C8" s="97"/>
      <c r="D8" s="108" t="s">
        <v>85</v>
      </c>
      <c r="E8" s="108" t="s">
        <v>86</v>
      </c>
      <c r="F8" s="107"/>
    </row>
    <row r="9" ht="15.75" customHeight="1">
      <c r="A9" s="109" t="s">
        <v>87</v>
      </c>
      <c r="B9" s="101"/>
      <c r="C9" s="102"/>
      <c r="D9" s="110" t="s">
        <v>88</v>
      </c>
      <c r="E9" s="110" t="s">
        <v>88</v>
      </c>
      <c r="F9" s="111"/>
    </row>
    <row r="10" ht="15.75" customHeight="1">
      <c r="A10" s="112">
        <v>1.1</v>
      </c>
      <c r="B10" s="113" t="s">
        <v>89</v>
      </c>
      <c r="C10" s="114"/>
      <c r="D10" s="115"/>
      <c r="E10" s="116"/>
      <c r="F10" s="117"/>
    </row>
    <row r="11" ht="34.5" customHeight="1">
      <c r="A11" s="118"/>
      <c r="B11" s="119">
        <v>1.0</v>
      </c>
      <c r="C11" s="120" t="s">
        <v>90</v>
      </c>
      <c r="D11" s="121" t="s">
        <v>88</v>
      </c>
      <c r="E11" s="121" t="s">
        <v>88</v>
      </c>
      <c r="F11" s="122"/>
    </row>
    <row r="12" ht="15.75" customHeight="1">
      <c r="A12" s="123"/>
      <c r="B12" s="119">
        <v>2.0</v>
      </c>
      <c r="C12" s="120" t="s">
        <v>91</v>
      </c>
      <c r="D12" s="121" t="s">
        <v>88</v>
      </c>
      <c r="E12" s="121" t="s">
        <v>88</v>
      </c>
      <c r="F12" s="122"/>
    </row>
    <row r="13" ht="15.75" customHeight="1">
      <c r="A13" s="123"/>
      <c r="B13" s="119">
        <v>3.0</v>
      </c>
      <c r="C13" s="120" t="s">
        <v>92</v>
      </c>
      <c r="D13" s="121" t="s">
        <v>88</v>
      </c>
      <c r="E13" s="121" t="s">
        <v>88</v>
      </c>
      <c r="F13" s="122"/>
    </row>
    <row r="14" ht="15.75" customHeight="1">
      <c r="A14" s="123"/>
      <c r="B14" s="119">
        <v>4.0</v>
      </c>
      <c r="C14" s="120" t="s">
        <v>93</v>
      </c>
      <c r="D14" s="121" t="s">
        <v>88</v>
      </c>
      <c r="E14" s="121" t="s">
        <v>88</v>
      </c>
      <c r="F14" s="122"/>
    </row>
    <row r="15" ht="15.75" customHeight="1">
      <c r="A15" s="107"/>
      <c r="B15" s="119">
        <v>5.0</v>
      </c>
      <c r="C15" s="120" t="s">
        <v>94</v>
      </c>
      <c r="D15" s="121" t="s">
        <v>88</v>
      </c>
      <c r="E15" s="121" t="s">
        <v>88</v>
      </c>
      <c r="F15" s="122"/>
    </row>
    <row r="16" ht="15.75" customHeight="1">
      <c r="A16" s="124">
        <v>1.2</v>
      </c>
      <c r="B16" s="125" t="s">
        <v>95</v>
      </c>
      <c r="C16" s="102"/>
      <c r="D16" s="115"/>
      <c r="E16" s="115"/>
      <c r="F16" s="126"/>
    </row>
    <row r="17" ht="15.75" customHeight="1">
      <c r="A17" s="118"/>
      <c r="B17" s="119">
        <v>6.0</v>
      </c>
      <c r="C17" s="120" t="s">
        <v>96</v>
      </c>
      <c r="D17" s="121" t="s">
        <v>88</v>
      </c>
      <c r="E17" s="121" t="s">
        <v>88</v>
      </c>
      <c r="F17" s="122"/>
    </row>
    <row r="18" ht="15.75" customHeight="1">
      <c r="A18" s="123"/>
      <c r="B18" s="119">
        <v>7.0</v>
      </c>
      <c r="C18" s="120" t="s">
        <v>97</v>
      </c>
      <c r="D18" s="121" t="s">
        <v>88</v>
      </c>
      <c r="E18" s="121" t="s">
        <v>88</v>
      </c>
      <c r="F18" s="122"/>
    </row>
    <row r="19" ht="15.75" customHeight="1">
      <c r="A19" s="123"/>
      <c r="B19" s="119">
        <v>8.0</v>
      </c>
      <c r="C19" s="120" t="s">
        <v>98</v>
      </c>
      <c r="D19" s="121" t="s">
        <v>88</v>
      </c>
      <c r="E19" s="121" t="s">
        <v>88</v>
      </c>
      <c r="F19" s="122"/>
    </row>
    <row r="20" ht="15.75" customHeight="1">
      <c r="A20" s="123"/>
      <c r="B20" s="119">
        <v>9.0</v>
      </c>
      <c r="C20" s="120" t="s">
        <v>99</v>
      </c>
      <c r="D20" s="121" t="s">
        <v>88</v>
      </c>
      <c r="E20" s="121" t="s">
        <v>88</v>
      </c>
      <c r="F20" s="122"/>
    </row>
    <row r="21" ht="31.5" customHeight="1">
      <c r="A21" s="123"/>
      <c r="B21" s="127">
        <v>10.0</v>
      </c>
      <c r="C21" s="120" t="s">
        <v>100</v>
      </c>
      <c r="D21" s="121" t="s">
        <v>88</v>
      </c>
      <c r="E21" s="121" t="s">
        <v>88</v>
      </c>
      <c r="F21" s="122"/>
    </row>
    <row r="22" ht="63.75" customHeight="1">
      <c r="A22" s="123"/>
      <c r="B22" s="107"/>
      <c r="C22" s="120" t="s">
        <v>101</v>
      </c>
      <c r="D22" s="121" t="s">
        <v>88</v>
      </c>
      <c r="E22" s="121" t="s">
        <v>88</v>
      </c>
      <c r="F22" s="122"/>
    </row>
    <row r="23" ht="15.75" customHeight="1">
      <c r="A23" s="123"/>
      <c r="B23" s="119">
        <v>11.0</v>
      </c>
      <c r="C23" s="120" t="s">
        <v>102</v>
      </c>
      <c r="D23" s="121" t="s">
        <v>88</v>
      </c>
      <c r="E23" s="121" t="s">
        <v>88</v>
      </c>
      <c r="F23" s="122"/>
    </row>
    <row r="24" ht="15.75" customHeight="1">
      <c r="A24" s="123"/>
      <c r="B24" s="119">
        <v>12.0</v>
      </c>
      <c r="C24" s="120" t="s">
        <v>103</v>
      </c>
      <c r="D24" s="121" t="s">
        <v>88</v>
      </c>
      <c r="E24" s="121" t="s">
        <v>88</v>
      </c>
      <c r="F24" s="122"/>
    </row>
    <row r="25" ht="15.75" customHeight="1">
      <c r="A25" s="123"/>
      <c r="B25" s="119">
        <v>13.0</v>
      </c>
      <c r="C25" s="120" t="s">
        <v>104</v>
      </c>
      <c r="D25" s="121" t="s">
        <v>88</v>
      </c>
      <c r="E25" s="121" t="s">
        <v>88</v>
      </c>
      <c r="F25" s="122"/>
    </row>
    <row r="26" ht="15.75" customHeight="1">
      <c r="A26" s="107"/>
      <c r="B26" s="119">
        <v>14.0</v>
      </c>
      <c r="C26" s="120" t="s">
        <v>105</v>
      </c>
      <c r="D26" s="121" t="s">
        <v>88</v>
      </c>
      <c r="E26" s="121" t="s">
        <v>88</v>
      </c>
      <c r="F26" s="122"/>
    </row>
    <row r="27" ht="15.75" customHeight="1">
      <c r="A27" s="124">
        <v>1.3</v>
      </c>
      <c r="B27" s="125" t="s">
        <v>106</v>
      </c>
      <c r="C27" s="102"/>
      <c r="D27" s="115"/>
      <c r="E27" s="115"/>
      <c r="F27" s="126"/>
    </row>
    <row r="28" ht="34.5" customHeight="1">
      <c r="A28" s="128"/>
      <c r="B28" s="129">
        <v>15.0</v>
      </c>
      <c r="C28" s="130" t="s">
        <v>107</v>
      </c>
      <c r="D28" s="121" t="s">
        <v>88</v>
      </c>
      <c r="E28" s="121" t="s">
        <v>88</v>
      </c>
      <c r="F28" s="131"/>
    </row>
    <row r="29" ht="31.5" customHeight="1">
      <c r="A29" s="123"/>
      <c r="B29" s="132" t="s">
        <v>108</v>
      </c>
      <c r="C29" s="102"/>
      <c r="D29" s="133"/>
      <c r="E29" s="133"/>
      <c r="F29" s="134"/>
    </row>
    <row r="30" ht="31.5" customHeight="1">
      <c r="A30" s="123"/>
      <c r="B30" s="129">
        <v>16.0</v>
      </c>
      <c r="C30" s="130" t="s">
        <v>109</v>
      </c>
      <c r="D30" s="121" t="s">
        <v>88</v>
      </c>
      <c r="E30" s="121" t="s">
        <v>88</v>
      </c>
      <c r="F30" s="131"/>
    </row>
    <row r="31" ht="31.5" customHeight="1">
      <c r="A31" s="123"/>
      <c r="B31" s="135" t="s">
        <v>110</v>
      </c>
      <c r="C31" s="102"/>
      <c r="D31" s="133"/>
      <c r="E31" s="133"/>
      <c r="F31" s="134"/>
    </row>
    <row r="32" ht="40.5" customHeight="1">
      <c r="A32" s="123"/>
      <c r="B32" s="129">
        <v>17.0</v>
      </c>
      <c r="C32" s="130" t="s">
        <v>111</v>
      </c>
      <c r="D32" s="121" t="s">
        <v>88</v>
      </c>
      <c r="E32" s="121" t="s">
        <v>88</v>
      </c>
      <c r="F32" s="131"/>
    </row>
    <row r="33" ht="36.75" customHeight="1">
      <c r="A33" s="123"/>
      <c r="B33" s="136" t="s">
        <v>112</v>
      </c>
      <c r="C33" s="137"/>
      <c r="D33" s="133"/>
      <c r="E33" s="133"/>
      <c r="F33" s="134"/>
    </row>
    <row r="34" ht="129.75" customHeight="1">
      <c r="A34" s="123"/>
      <c r="B34" s="129">
        <v>18.0</v>
      </c>
      <c r="C34" s="138" t="s">
        <v>113</v>
      </c>
      <c r="D34" s="121" t="s">
        <v>88</v>
      </c>
      <c r="E34" s="121" t="s">
        <v>88</v>
      </c>
      <c r="F34" s="131"/>
    </row>
    <row r="35" ht="33.0" customHeight="1">
      <c r="A35" s="123"/>
      <c r="B35" s="135" t="s">
        <v>114</v>
      </c>
      <c r="C35" s="102"/>
      <c r="D35" s="133"/>
      <c r="E35" s="133"/>
      <c r="F35" s="134"/>
    </row>
    <row r="36" ht="31.5" customHeight="1">
      <c r="A36" s="123"/>
      <c r="B36" s="129">
        <v>19.0</v>
      </c>
      <c r="C36" s="130" t="s">
        <v>115</v>
      </c>
      <c r="D36" s="121" t="s">
        <v>88</v>
      </c>
      <c r="E36" s="121" t="s">
        <v>88</v>
      </c>
      <c r="F36" s="131"/>
    </row>
    <row r="37" ht="36.75" customHeight="1">
      <c r="A37" s="123"/>
      <c r="B37" s="135" t="s">
        <v>116</v>
      </c>
      <c r="C37" s="102"/>
      <c r="D37" s="133"/>
      <c r="E37" s="133"/>
      <c r="F37" s="134"/>
    </row>
    <row r="38" ht="31.5" customHeight="1">
      <c r="A38" s="123"/>
      <c r="B38" s="129">
        <v>20.0</v>
      </c>
      <c r="C38" s="130" t="s">
        <v>117</v>
      </c>
      <c r="D38" s="121" t="s">
        <v>88</v>
      </c>
      <c r="E38" s="121" t="s">
        <v>88</v>
      </c>
      <c r="F38" s="131"/>
    </row>
    <row r="39" ht="42.75" customHeight="1">
      <c r="A39" s="123"/>
      <c r="B39" s="135" t="s">
        <v>118</v>
      </c>
      <c r="C39" s="102"/>
      <c r="D39" s="133"/>
      <c r="E39" s="133"/>
      <c r="F39" s="134"/>
    </row>
    <row r="40" ht="33.0" customHeight="1">
      <c r="A40" s="123"/>
      <c r="B40" s="129">
        <v>21.0</v>
      </c>
      <c r="C40" s="130" t="s">
        <v>119</v>
      </c>
      <c r="D40" s="121" t="s">
        <v>88</v>
      </c>
      <c r="E40" s="121" t="s">
        <v>88</v>
      </c>
      <c r="F40" s="131"/>
    </row>
    <row r="41" ht="33.0" customHeight="1">
      <c r="A41" s="123"/>
      <c r="B41" s="132" t="s">
        <v>120</v>
      </c>
      <c r="C41" s="102"/>
      <c r="D41" s="133"/>
      <c r="E41" s="133"/>
      <c r="F41" s="134"/>
    </row>
    <row r="42" ht="34.5" customHeight="1">
      <c r="A42" s="123"/>
      <c r="B42" s="129">
        <v>22.0</v>
      </c>
      <c r="C42" s="130" t="s">
        <v>121</v>
      </c>
      <c r="D42" s="121" t="s">
        <v>88</v>
      </c>
      <c r="E42" s="121" t="s">
        <v>88</v>
      </c>
      <c r="F42" s="131"/>
    </row>
    <row r="43" ht="34.5" customHeight="1">
      <c r="A43" s="123"/>
      <c r="B43" s="129">
        <v>23.0</v>
      </c>
      <c r="C43" s="139" t="s">
        <v>122</v>
      </c>
      <c r="D43" s="121" t="s">
        <v>88</v>
      </c>
      <c r="E43" s="121" t="s">
        <v>88</v>
      </c>
      <c r="F43" s="131"/>
    </row>
    <row r="44" ht="34.5" customHeight="1">
      <c r="A44" s="123"/>
      <c r="B44" s="129">
        <v>24.0</v>
      </c>
      <c r="C44" s="130" t="s">
        <v>123</v>
      </c>
      <c r="D44" s="121" t="s">
        <v>88</v>
      </c>
      <c r="E44" s="121" t="s">
        <v>88</v>
      </c>
      <c r="F44" s="131"/>
    </row>
    <row r="45" ht="34.5" customHeight="1">
      <c r="A45" s="123"/>
      <c r="B45" s="129">
        <v>25.0</v>
      </c>
      <c r="C45" s="130" t="s">
        <v>124</v>
      </c>
      <c r="D45" s="121" t="s">
        <v>88</v>
      </c>
      <c r="E45" s="121" t="s">
        <v>88</v>
      </c>
      <c r="F45" s="131"/>
    </row>
    <row r="46" ht="34.5" customHeight="1">
      <c r="A46" s="107"/>
      <c r="B46" s="129">
        <v>26.0</v>
      </c>
      <c r="C46" s="130" t="s">
        <v>125</v>
      </c>
      <c r="D46" s="121" t="s">
        <v>88</v>
      </c>
      <c r="E46" s="121" t="s">
        <v>88</v>
      </c>
      <c r="F46" s="131"/>
    </row>
    <row r="47" ht="34.5" customHeight="1">
      <c r="A47" s="140">
        <v>1.4</v>
      </c>
      <c r="B47" s="141" t="s">
        <v>126</v>
      </c>
      <c r="C47" s="101"/>
      <c r="D47" s="142"/>
      <c r="E47" s="142"/>
      <c r="F47" s="142"/>
    </row>
    <row r="48" ht="34.5" customHeight="1">
      <c r="A48" s="143"/>
      <c r="B48" s="143">
        <v>27.0</v>
      </c>
      <c r="C48" s="144" t="s">
        <v>127</v>
      </c>
      <c r="D48" s="121" t="s">
        <v>88</v>
      </c>
      <c r="E48" s="121" t="s">
        <v>88</v>
      </c>
      <c r="F48" s="145"/>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B3"/>
    <mergeCell ref="C1:E3"/>
    <mergeCell ref="F1:F3"/>
    <mergeCell ref="A4:C4"/>
    <mergeCell ref="D4:F4"/>
    <mergeCell ref="A5:C5"/>
    <mergeCell ref="D5:F5"/>
    <mergeCell ref="A6:C6"/>
    <mergeCell ref="D6:F6"/>
    <mergeCell ref="B7:C8"/>
    <mergeCell ref="D7:E7"/>
    <mergeCell ref="F7:F8"/>
    <mergeCell ref="A9:C9"/>
    <mergeCell ref="B10:C10"/>
    <mergeCell ref="B29:C29"/>
    <mergeCell ref="B31:C31"/>
    <mergeCell ref="B35:C35"/>
    <mergeCell ref="B37:C37"/>
    <mergeCell ref="B39:C39"/>
    <mergeCell ref="B41:C41"/>
    <mergeCell ref="A7:A8"/>
    <mergeCell ref="A11:A15"/>
    <mergeCell ref="B16:C16"/>
    <mergeCell ref="A17:A26"/>
    <mergeCell ref="B21:B22"/>
    <mergeCell ref="B27:C27"/>
    <mergeCell ref="A28:A46"/>
    <mergeCell ref="B47:C4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5.67"/>
    <col customWidth="1" min="2" max="2" width="5.22"/>
    <col customWidth="1" min="3" max="3" width="37.89"/>
    <col customWidth="1" min="4" max="4" width="80.22"/>
    <col customWidth="1" min="5" max="24" width="10.56"/>
  </cols>
  <sheetData>
    <row r="1" ht="19.5" customHeight="1">
      <c r="A1" s="1" t="s">
        <v>128</v>
      </c>
      <c r="B1" s="2"/>
      <c r="C1" s="46"/>
      <c r="D1" s="146" t="s">
        <v>129</v>
      </c>
    </row>
    <row r="2" ht="19.5" customHeight="1">
      <c r="A2" s="147"/>
      <c r="C2" s="94"/>
      <c r="D2" s="95"/>
    </row>
    <row r="3" ht="19.5" customHeight="1">
      <c r="A3" s="5"/>
      <c r="B3" s="6"/>
      <c r="C3" s="48"/>
      <c r="D3" s="7"/>
    </row>
    <row r="4" ht="18.0" customHeight="1">
      <c r="A4" s="12" t="s">
        <v>2</v>
      </c>
      <c r="B4" s="13"/>
      <c r="C4" s="20"/>
      <c r="D4" s="16" t="s">
        <v>79</v>
      </c>
    </row>
    <row r="5" ht="18.0" customHeight="1">
      <c r="A5" s="12" t="s">
        <v>4</v>
      </c>
      <c r="B5" s="13"/>
      <c r="C5" s="13"/>
      <c r="D5" s="16" t="s">
        <v>81</v>
      </c>
    </row>
    <row r="6" ht="18.0" customHeight="1">
      <c r="A6" s="49" t="s">
        <v>6</v>
      </c>
      <c r="B6" s="13"/>
      <c r="C6" s="13"/>
      <c r="D6" s="16" t="s">
        <v>7</v>
      </c>
    </row>
    <row r="7" ht="15.75" customHeight="1">
      <c r="A7" s="148" t="s">
        <v>8</v>
      </c>
      <c r="B7" s="149" t="s">
        <v>130</v>
      </c>
      <c r="D7" s="148" t="s">
        <v>11</v>
      </c>
    </row>
    <row r="8" ht="15.75" customHeight="1">
      <c r="A8" s="7"/>
      <c r="B8" s="5"/>
      <c r="C8" s="6"/>
      <c r="D8" s="7"/>
    </row>
    <row r="9" ht="22.5" customHeight="1">
      <c r="A9" s="150" t="s">
        <v>131</v>
      </c>
      <c r="B9" s="13"/>
      <c r="C9" s="20"/>
      <c r="D9" s="151"/>
    </row>
    <row r="10" ht="19.5" customHeight="1">
      <c r="A10" s="152">
        <v>45658.0</v>
      </c>
      <c r="B10" s="153" t="s">
        <v>132</v>
      </c>
      <c r="C10" s="20"/>
      <c r="D10" s="154"/>
    </row>
    <row r="11">
      <c r="A11" s="155"/>
      <c r="B11" s="23">
        <v>1.0</v>
      </c>
      <c r="C11" s="156" t="s">
        <v>133</v>
      </c>
      <c r="D11" s="156" t="s">
        <v>134</v>
      </c>
    </row>
    <row r="12">
      <c r="A12" s="95"/>
      <c r="B12" s="23">
        <v>2.0</v>
      </c>
      <c r="C12" s="156" t="s">
        <v>135</v>
      </c>
      <c r="D12" s="156" t="s">
        <v>136</v>
      </c>
    </row>
    <row r="13">
      <c r="A13" s="95"/>
      <c r="B13" s="23">
        <v>3.0</v>
      </c>
      <c r="C13" s="156" t="s">
        <v>137</v>
      </c>
      <c r="D13" s="156" t="s">
        <v>138</v>
      </c>
    </row>
    <row r="14">
      <c r="A14" s="95"/>
      <c r="B14" s="23">
        <v>4.0</v>
      </c>
      <c r="C14" s="156" t="s">
        <v>139</v>
      </c>
      <c r="D14" s="156" t="s">
        <v>140</v>
      </c>
    </row>
    <row r="15">
      <c r="A15" s="95"/>
      <c r="B15" s="23">
        <v>5.0</v>
      </c>
      <c r="C15" s="156" t="s">
        <v>141</v>
      </c>
      <c r="D15" s="156" t="s">
        <v>142</v>
      </c>
    </row>
    <row r="16">
      <c r="A16" s="7"/>
      <c r="B16" s="23">
        <v>6.0</v>
      </c>
      <c r="C16" s="156" t="s">
        <v>143</v>
      </c>
      <c r="D16" s="156" t="s">
        <v>144</v>
      </c>
    </row>
    <row r="17">
      <c r="A17" s="152">
        <v>45689.0</v>
      </c>
      <c r="B17" s="153" t="s">
        <v>145</v>
      </c>
      <c r="C17" s="20"/>
      <c r="D17" s="157"/>
    </row>
    <row r="18">
      <c r="A18" s="155"/>
      <c r="B18" s="23">
        <v>1.0</v>
      </c>
      <c r="C18" s="156" t="s">
        <v>146</v>
      </c>
      <c r="D18" s="156" t="s">
        <v>147</v>
      </c>
    </row>
    <row r="19">
      <c r="A19" s="95"/>
      <c r="B19" s="23">
        <v>2.0</v>
      </c>
      <c r="C19" s="156" t="s">
        <v>148</v>
      </c>
      <c r="D19" s="156" t="s">
        <v>149</v>
      </c>
    </row>
    <row r="20">
      <c r="A20" s="95"/>
      <c r="B20" s="23">
        <f t="shared" ref="B20:B29" si="1">B19+1</f>
        <v>3</v>
      </c>
      <c r="C20" s="156" t="s">
        <v>150</v>
      </c>
      <c r="D20" s="156" t="s">
        <v>151</v>
      </c>
    </row>
    <row r="21">
      <c r="A21" s="95"/>
      <c r="B21" s="23">
        <f t="shared" si="1"/>
        <v>4</v>
      </c>
      <c r="C21" s="156" t="s">
        <v>152</v>
      </c>
      <c r="D21" s="156" t="s">
        <v>153</v>
      </c>
    </row>
    <row r="22">
      <c r="A22" s="95"/>
      <c r="B22" s="23">
        <f t="shared" si="1"/>
        <v>5</v>
      </c>
      <c r="C22" s="156" t="s">
        <v>154</v>
      </c>
      <c r="D22" s="156" t="s">
        <v>155</v>
      </c>
    </row>
    <row r="23">
      <c r="A23" s="95"/>
      <c r="B23" s="23">
        <f t="shared" si="1"/>
        <v>6</v>
      </c>
      <c r="C23" s="156" t="s">
        <v>156</v>
      </c>
      <c r="D23" s="156" t="s">
        <v>157</v>
      </c>
    </row>
    <row r="24">
      <c r="A24" s="95"/>
      <c r="B24" s="23">
        <f t="shared" si="1"/>
        <v>7</v>
      </c>
      <c r="C24" s="156" t="s">
        <v>158</v>
      </c>
      <c r="D24" s="156" t="s">
        <v>159</v>
      </c>
    </row>
    <row r="25">
      <c r="A25" s="95"/>
      <c r="B25" s="23">
        <f t="shared" si="1"/>
        <v>8</v>
      </c>
      <c r="C25" s="156" t="s">
        <v>160</v>
      </c>
      <c r="D25" s="156" t="s">
        <v>161</v>
      </c>
    </row>
    <row r="26">
      <c r="A26" s="95"/>
      <c r="B26" s="23">
        <f t="shared" si="1"/>
        <v>9</v>
      </c>
      <c r="C26" s="156" t="s">
        <v>162</v>
      </c>
      <c r="D26" s="156" t="s">
        <v>163</v>
      </c>
    </row>
    <row r="27">
      <c r="A27" s="95"/>
      <c r="B27" s="23">
        <f t="shared" si="1"/>
        <v>10</v>
      </c>
      <c r="C27" s="156" t="s">
        <v>164</v>
      </c>
      <c r="D27" s="156" t="s">
        <v>165</v>
      </c>
    </row>
    <row r="28">
      <c r="A28" s="95"/>
      <c r="B28" s="23">
        <f t="shared" si="1"/>
        <v>11</v>
      </c>
      <c r="C28" s="156" t="s">
        <v>166</v>
      </c>
      <c r="D28" s="156" t="s">
        <v>167</v>
      </c>
    </row>
    <row r="29">
      <c r="A29" s="7"/>
      <c r="B29" s="23">
        <f t="shared" si="1"/>
        <v>12</v>
      </c>
      <c r="C29" s="156" t="s">
        <v>168</v>
      </c>
      <c r="D29" s="156" t="s">
        <v>169</v>
      </c>
    </row>
    <row r="30">
      <c r="A30" s="152">
        <v>45717.0</v>
      </c>
      <c r="B30" s="153" t="s">
        <v>170</v>
      </c>
      <c r="C30" s="20"/>
      <c r="D30" s="157"/>
    </row>
    <row r="31">
      <c r="A31" s="155"/>
      <c r="B31" s="23">
        <v>1.0</v>
      </c>
      <c r="C31" s="156" t="s">
        <v>171</v>
      </c>
      <c r="D31" s="156" t="s">
        <v>172</v>
      </c>
    </row>
    <row r="32">
      <c r="A32" s="95"/>
      <c r="B32" s="23">
        <v>2.0</v>
      </c>
      <c r="C32" s="156" t="s">
        <v>173</v>
      </c>
      <c r="D32" s="156" t="s">
        <v>174</v>
      </c>
    </row>
    <row r="33">
      <c r="A33" s="95"/>
      <c r="B33" s="23">
        <v>3.0</v>
      </c>
      <c r="C33" s="156" t="s">
        <v>175</v>
      </c>
      <c r="D33" s="156" t="s">
        <v>176</v>
      </c>
    </row>
    <row r="34">
      <c r="A34" s="95"/>
      <c r="B34" s="23">
        <v>4.0</v>
      </c>
      <c r="C34" s="156" t="s">
        <v>177</v>
      </c>
      <c r="D34" s="156" t="s">
        <v>178</v>
      </c>
    </row>
    <row r="35">
      <c r="A35" s="95"/>
      <c r="B35" s="23">
        <v>5.0</v>
      </c>
      <c r="C35" s="156" t="s">
        <v>179</v>
      </c>
      <c r="D35" s="156" t="s">
        <v>180</v>
      </c>
    </row>
    <row r="36">
      <c r="A36" s="7"/>
      <c r="B36" s="23">
        <v>6.0</v>
      </c>
      <c r="C36" s="156" t="s">
        <v>181</v>
      </c>
      <c r="D36" s="156" t="s">
        <v>182</v>
      </c>
    </row>
    <row r="37">
      <c r="A37" s="152">
        <v>45748.0</v>
      </c>
      <c r="B37" s="153" t="s">
        <v>183</v>
      </c>
      <c r="C37" s="20"/>
      <c r="D37" s="158"/>
    </row>
    <row r="38">
      <c r="A38" s="155"/>
      <c r="B38" s="23">
        <v>1.0</v>
      </c>
      <c r="C38" s="156" t="s">
        <v>184</v>
      </c>
      <c r="D38" s="156" t="s">
        <v>185</v>
      </c>
    </row>
    <row r="39">
      <c r="A39" s="95"/>
      <c r="B39" s="33">
        <v>2.0</v>
      </c>
      <c r="C39" s="156" t="s">
        <v>186</v>
      </c>
      <c r="D39" s="156" t="s">
        <v>187</v>
      </c>
    </row>
    <row r="40">
      <c r="A40" s="95"/>
      <c r="B40" s="23">
        <v>3.0</v>
      </c>
      <c r="C40" s="156" t="s">
        <v>188</v>
      </c>
      <c r="D40" s="156" t="s">
        <v>189</v>
      </c>
    </row>
    <row r="41">
      <c r="A41" s="95"/>
      <c r="B41" s="33">
        <v>4.0</v>
      </c>
      <c r="C41" s="156" t="s">
        <v>190</v>
      </c>
      <c r="D41" s="156" t="s">
        <v>191</v>
      </c>
    </row>
    <row r="42">
      <c r="A42" s="7"/>
      <c r="B42" s="23">
        <v>5.0</v>
      </c>
      <c r="C42" s="156" t="s">
        <v>192</v>
      </c>
      <c r="D42" s="156" t="s">
        <v>193</v>
      </c>
    </row>
    <row r="43">
      <c r="A43" s="152">
        <v>45778.0</v>
      </c>
      <c r="B43" s="153" t="s">
        <v>194</v>
      </c>
      <c r="C43" s="20"/>
      <c r="D43" s="158"/>
    </row>
    <row r="44">
      <c r="A44" s="155"/>
      <c r="B44" s="23">
        <v>1.0</v>
      </c>
      <c r="C44" s="156" t="s">
        <v>195</v>
      </c>
      <c r="D44" s="156" t="s">
        <v>196</v>
      </c>
    </row>
    <row r="45">
      <c r="A45" s="95"/>
      <c r="B45" s="23">
        <v>2.0</v>
      </c>
      <c r="C45" s="156" t="s">
        <v>197</v>
      </c>
      <c r="D45" s="156" t="s">
        <v>198</v>
      </c>
    </row>
    <row r="46">
      <c r="A46" s="95"/>
      <c r="B46" s="23">
        <v>3.0</v>
      </c>
      <c r="C46" s="156" t="s">
        <v>199</v>
      </c>
      <c r="D46" s="156" t="s">
        <v>200</v>
      </c>
    </row>
    <row r="47">
      <c r="A47" s="95"/>
      <c r="B47" s="23">
        <v>4.0</v>
      </c>
      <c r="C47" s="156" t="s">
        <v>201</v>
      </c>
      <c r="D47" s="156" t="s">
        <v>202</v>
      </c>
    </row>
    <row r="48">
      <c r="A48" s="95"/>
      <c r="B48" s="23">
        <v>5.0</v>
      </c>
      <c r="C48" s="156" t="s">
        <v>203</v>
      </c>
      <c r="D48" s="156" t="s">
        <v>204</v>
      </c>
    </row>
    <row r="49">
      <c r="A49" s="95"/>
      <c r="B49" s="23">
        <v>6.0</v>
      </c>
      <c r="C49" s="156" t="s">
        <v>205</v>
      </c>
      <c r="D49" s="156" t="s">
        <v>206</v>
      </c>
    </row>
    <row r="50">
      <c r="A50" s="95"/>
      <c r="B50" s="23">
        <v>7.0</v>
      </c>
      <c r="C50" s="156" t="s">
        <v>207</v>
      </c>
      <c r="D50" s="156" t="s">
        <v>208</v>
      </c>
    </row>
    <row r="51">
      <c r="A51" s="95"/>
      <c r="B51" s="23">
        <v>8.0</v>
      </c>
      <c r="C51" s="156" t="s">
        <v>209</v>
      </c>
      <c r="D51" s="156" t="s">
        <v>210</v>
      </c>
    </row>
    <row r="52">
      <c r="A52" s="95"/>
      <c r="B52" s="23">
        <v>9.0</v>
      </c>
      <c r="C52" s="156" t="s">
        <v>211</v>
      </c>
      <c r="D52" s="156" t="s">
        <v>212</v>
      </c>
    </row>
    <row r="53">
      <c r="A53" s="95"/>
      <c r="B53" s="23">
        <v>10.0</v>
      </c>
      <c r="C53" s="156" t="s">
        <v>213</v>
      </c>
      <c r="D53" s="156" t="s">
        <v>214</v>
      </c>
    </row>
    <row r="54">
      <c r="A54" s="7"/>
      <c r="B54" s="23">
        <v>11.0</v>
      </c>
      <c r="C54" s="156" t="s">
        <v>215</v>
      </c>
      <c r="D54" s="159" t="s">
        <v>216</v>
      </c>
    </row>
    <row r="55">
      <c r="A55" s="152">
        <v>45809.0</v>
      </c>
      <c r="B55" s="153" t="s">
        <v>217</v>
      </c>
      <c r="C55" s="20"/>
      <c r="D55" s="157"/>
    </row>
    <row r="56">
      <c r="A56" s="155"/>
      <c r="B56" s="23">
        <v>1.0</v>
      </c>
      <c r="C56" s="156" t="s">
        <v>218</v>
      </c>
      <c r="D56" s="156" t="s">
        <v>219</v>
      </c>
    </row>
    <row r="57">
      <c r="A57" s="95"/>
      <c r="B57" s="23">
        <v>2.0</v>
      </c>
      <c r="C57" s="156" t="s">
        <v>220</v>
      </c>
      <c r="D57" s="156" t="s">
        <v>221</v>
      </c>
    </row>
    <row r="58">
      <c r="A58" s="95"/>
      <c r="B58" s="23">
        <v>3.0</v>
      </c>
      <c r="C58" s="156" t="s">
        <v>222</v>
      </c>
      <c r="D58" s="156" t="s">
        <v>223</v>
      </c>
    </row>
    <row r="59">
      <c r="A59" s="95"/>
      <c r="B59" s="23">
        <v>4.0</v>
      </c>
      <c r="C59" s="156" t="s">
        <v>224</v>
      </c>
      <c r="D59" s="156" t="s">
        <v>225</v>
      </c>
    </row>
    <row r="60">
      <c r="A60" s="95"/>
      <c r="B60" s="23">
        <v>5.0</v>
      </c>
      <c r="C60" s="156" t="s">
        <v>226</v>
      </c>
      <c r="D60" s="156" t="s">
        <v>227</v>
      </c>
    </row>
    <row r="61">
      <c r="A61" s="95"/>
      <c r="B61" s="23">
        <v>6.0</v>
      </c>
      <c r="C61" s="156" t="s">
        <v>228</v>
      </c>
      <c r="D61" s="156" t="s">
        <v>229</v>
      </c>
    </row>
    <row r="62">
      <c r="A62" s="95"/>
      <c r="B62" s="23">
        <v>7.0</v>
      </c>
      <c r="C62" s="156" t="s">
        <v>230</v>
      </c>
      <c r="D62" s="156" t="s">
        <v>231</v>
      </c>
    </row>
    <row r="63">
      <c r="A63" s="95"/>
      <c r="B63" s="23">
        <v>8.0</v>
      </c>
      <c r="C63" s="156" t="s">
        <v>232</v>
      </c>
      <c r="D63" s="156" t="s">
        <v>233</v>
      </c>
    </row>
    <row r="64">
      <c r="A64" s="95"/>
      <c r="B64" s="23">
        <v>9.0</v>
      </c>
      <c r="C64" s="156" t="s">
        <v>234</v>
      </c>
      <c r="D64" s="156" t="s">
        <v>235</v>
      </c>
    </row>
    <row r="65">
      <c r="A65" s="95"/>
      <c r="B65" s="23">
        <v>10.0</v>
      </c>
      <c r="C65" s="156" t="s">
        <v>236</v>
      </c>
      <c r="D65" s="156" t="s">
        <v>237</v>
      </c>
    </row>
    <row r="66">
      <c r="A66" s="7"/>
      <c r="B66" s="23">
        <v>11.0</v>
      </c>
      <c r="C66" s="156" t="s">
        <v>238</v>
      </c>
      <c r="D66" s="156" t="s">
        <v>239</v>
      </c>
    </row>
    <row r="67" ht="15.75" customHeight="1">
      <c r="A67" s="160">
        <v>45839.0</v>
      </c>
      <c r="B67" s="153" t="s">
        <v>240</v>
      </c>
      <c r="C67" s="20"/>
      <c r="D67" s="157"/>
    </row>
    <row r="68">
      <c r="A68" s="155"/>
      <c r="B68" s="23">
        <v>1.0</v>
      </c>
      <c r="C68" s="156" t="s">
        <v>241</v>
      </c>
      <c r="D68" s="156" t="s">
        <v>242</v>
      </c>
    </row>
    <row r="69">
      <c r="A69" s="95"/>
      <c r="B69" s="23">
        <v>2.0</v>
      </c>
      <c r="C69" s="156" t="s">
        <v>243</v>
      </c>
      <c r="D69" s="156" t="s">
        <v>244</v>
      </c>
    </row>
    <row r="70">
      <c r="A70" s="95"/>
      <c r="B70" s="23">
        <v>3.0</v>
      </c>
      <c r="C70" s="156" t="s">
        <v>245</v>
      </c>
      <c r="D70" s="156" t="s">
        <v>246</v>
      </c>
    </row>
    <row r="71">
      <c r="A71" s="95"/>
      <c r="B71" s="23">
        <v>4.0</v>
      </c>
      <c r="C71" s="156" t="s">
        <v>247</v>
      </c>
      <c r="D71" s="156" t="s">
        <v>248</v>
      </c>
    </row>
    <row r="72">
      <c r="A72" s="95"/>
      <c r="B72" s="23">
        <v>5.0</v>
      </c>
      <c r="C72" s="156" t="s">
        <v>249</v>
      </c>
      <c r="D72" s="156" t="s">
        <v>250</v>
      </c>
    </row>
    <row r="73">
      <c r="A73" s="95"/>
      <c r="B73" s="23">
        <v>6.0</v>
      </c>
      <c r="C73" s="156" t="s">
        <v>251</v>
      </c>
      <c r="D73" s="156" t="s">
        <v>252</v>
      </c>
    </row>
    <row r="74">
      <c r="A74" s="95"/>
      <c r="B74" s="23">
        <v>7.0</v>
      </c>
      <c r="C74" s="156" t="s">
        <v>253</v>
      </c>
      <c r="D74" s="156" t="s">
        <v>254</v>
      </c>
    </row>
    <row r="75">
      <c r="A75" s="95"/>
      <c r="B75" s="23">
        <v>8.0</v>
      </c>
      <c r="C75" s="156" t="s">
        <v>255</v>
      </c>
      <c r="D75" s="156" t="s">
        <v>256</v>
      </c>
    </row>
    <row r="76">
      <c r="A76" s="95"/>
      <c r="B76" s="23">
        <v>9.0</v>
      </c>
      <c r="C76" s="156" t="s">
        <v>257</v>
      </c>
      <c r="D76" s="156" t="s">
        <v>258</v>
      </c>
    </row>
    <row r="77">
      <c r="A77" s="95"/>
      <c r="B77" s="23">
        <v>10.0</v>
      </c>
      <c r="C77" s="156" t="s">
        <v>259</v>
      </c>
      <c r="D77" s="156" t="s">
        <v>260</v>
      </c>
    </row>
    <row r="78">
      <c r="A78" s="95"/>
      <c r="B78" s="23">
        <v>11.0</v>
      </c>
      <c r="C78" s="156" t="s">
        <v>261</v>
      </c>
      <c r="D78" s="156" t="s">
        <v>262</v>
      </c>
    </row>
    <row r="79">
      <c r="A79" s="7"/>
      <c r="B79" s="23">
        <v>12.0</v>
      </c>
      <c r="C79" s="156" t="s">
        <v>263</v>
      </c>
      <c r="D79" s="156" t="s">
        <v>264</v>
      </c>
    </row>
    <row r="80">
      <c r="A80" s="160">
        <v>45870.0</v>
      </c>
      <c r="B80" s="153" t="s">
        <v>265</v>
      </c>
      <c r="C80" s="20"/>
      <c r="D80" s="157"/>
    </row>
    <row r="81">
      <c r="A81" s="155"/>
      <c r="B81" s="23">
        <v>1.0</v>
      </c>
      <c r="C81" s="156" t="s">
        <v>266</v>
      </c>
      <c r="D81" s="156" t="s">
        <v>267</v>
      </c>
    </row>
    <row r="82">
      <c r="A82" s="95"/>
      <c r="B82" s="23">
        <v>2.0</v>
      </c>
      <c r="C82" s="156" t="s">
        <v>268</v>
      </c>
      <c r="D82" s="156" t="s">
        <v>269</v>
      </c>
    </row>
    <row r="83">
      <c r="A83" s="95"/>
      <c r="B83" s="23">
        <v>3.0</v>
      </c>
      <c r="C83" s="156" t="s">
        <v>270</v>
      </c>
      <c r="D83" s="156" t="s">
        <v>271</v>
      </c>
    </row>
    <row r="84">
      <c r="A84" s="95"/>
      <c r="B84" s="23">
        <v>4.0</v>
      </c>
      <c r="C84" s="156" t="s">
        <v>272</v>
      </c>
      <c r="D84" s="156" t="s">
        <v>273</v>
      </c>
    </row>
    <row r="85">
      <c r="A85" s="95"/>
      <c r="B85" s="23">
        <v>5.0</v>
      </c>
      <c r="C85" s="156" t="s">
        <v>274</v>
      </c>
      <c r="D85" s="156" t="s">
        <v>275</v>
      </c>
    </row>
    <row r="86">
      <c r="A86" s="95"/>
      <c r="B86" s="23">
        <v>6.0</v>
      </c>
      <c r="C86" s="156" t="s">
        <v>276</v>
      </c>
      <c r="D86" s="156" t="s">
        <v>277</v>
      </c>
    </row>
    <row r="87">
      <c r="A87" s="7"/>
      <c r="B87" s="23">
        <v>7.0</v>
      </c>
      <c r="C87" s="156" t="s">
        <v>278</v>
      </c>
      <c r="D87" s="156" t="s">
        <v>279</v>
      </c>
    </row>
    <row r="88">
      <c r="A88" s="160">
        <v>45901.0</v>
      </c>
      <c r="B88" s="153" t="s">
        <v>280</v>
      </c>
      <c r="C88" s="20"/>
      <c r="D88" s="157"/>
    </row>
    <row r="89">
      <c r="A89" s="155"/>
      <c r="B89" s="23">
        <v>1.0</v>
      </c>
      <c r="C89" s="156" t="s">
        <v>281</v>
      </c>
      <c r="D89" s="156" t="s">
        <v>282</v>
      </c>
    </row>
    <row r="90">
      <c r="A90" s="95"/>
      <c r="B90" s="23">
        <v>2.0</v>
      </c>
      <c r="C90" s="156" t="s">
        <v>283</v>
      </c>
      <c r="D90" s="156" t="s">
        <v>284</v>
      </c>
    </row>
    <row r="91">
      <c r="A91" s="95"/>
      <c r="B91" s="23">
        <v>3.0</v>
      </c>
      <c r="C91" s="156" t="s">
        <v>285</v>
      </c>
      <c r="D91" s="156" t="s">
        <v>286</v>
      </c>
    </row>
    <row r="92">
      <c r="A92" s="95"/>
      <c r="B92" s="23">
        <v>4.0</v>
      </c>
      <c r="C92" s="156" t="s">
        <v>287</v>
      </c>
      <c r="D92" s="156" t="s">
        <v>288</v>
      </c>
    </row>
    <row r="93">
      <c r="A93" s="95"/>
      <c r="B93" s="23">
        <v>5.0</v>
      </c>
      <c r="C93" s="156" t="s">
        <v>289</v>
      </c>
      <c r="D93" s="156" t="s">
        <v>290</v>
      </c>
    </row>
    <row r="94">
      <c r="A94" s="7"/>
      <c r="B94" s="23">
        <v>6.0</v>
      </c>
      <c r="C94" s="156" t="s">
        <v>291</v>
      </c>
      <c r="D94" s="156" t="s">
        <v>292</v>
      </c>
    </row>
    <row r="95">
      <c r="A95" s="161" t="s">
        <v>293</v>
      </c>
      <c r="B95" s="153" t="s">
        <v>294</v>
      </c>
      <c r="C95" s="20"/>
      <c r="D95" s="157"/>
    </row>
    <row r="96">
      <c r="A96" s="155"/>
      <c r="B96" s="23">
        <v>1.0</v>
      </c>
      <c r="C96" s="156" t="s">
        <v>295</v>
      </c>
      <c r="D96" s="156" t="s">
        <v>296</v>
      </c>
    </row>
    <row r="97">
      <c r="A97" s="95"/>
      <c r="B97" s="23">
        <v>2.0</v>
      </c>
      <c r="C97" s="156" t="s">
        <v>297</v>
      </c>
      <c r="D97" s="156" t="s">
        <v>298</v>
      </c>
    </row>
    <row r="98">
      <c r="A98" s="95"/>
      <c r="B98" s="23">
        <v>3.0</v>
      </c>
      <c r="C98" s="156" t="s">
        <v>299</v>
      </c>
      <c r="D98" s="156" t="s">
        <v>300</v>
      </c>
    </row>
    <row r="99">
      <c r="A99" s="95"/>
      <c r="B99" s="23">
        <v>4.0</v>
      </c>
      <c r="C99" s="156" t="s">
        <v>301</v>
      </c>
      <c r="D99" s="156" t="s">
        <v>302</v>
      </c>
    </row>
    <row r="100">
      <c r="A100" s="95"/>
      <c r="B100" s="23">
        <v>5.0</v>
      </c>
      <c r="C100" s="156" t="s">
        <v>303</v>
      </c>
      <c r="D100" s="156" t="s">
        <v>304</v>
      </c>
    </row>
    <row r="101">
      <c r="A101" s="95"/>
      <c r="B101" s="23">
        <v>6.0</v>
      </c>
      <c r="C101" s="156" t="s">
        <v>305</v>
      </c>
      <c r="D101" s="156" t="s">
        <v>306</v>
      </c>
    </row>
    <row r="102">
      <c r="A102" s="95"/>
      <c r="B102" s="23">
        <v>7.0</v>
      </c>
      <c r="C102" s="156" t="s">
        <v>307</v>
      </c>
      <c r="D102" s="156" t="s">
        <v>308</v>
      </c>
    </row>
    <row r="103">
      <c r="A103" s="7"/>
      <c r="B103" s="23">
        <v>8.0</v>
      </c>
      <c r="C103" s="156" t="s">
        <v>309</v>
      </c>
      <c r="D103" s="156" t="s">
        <v>310</v>
      </c>
    </row>
    <row r="104">
      <c r="A104" s="161" t="s">
        <v>311</v>
      </c>
      <c r="B104" s="162" t="s">
        <v>312</v>
      </c>
      <c r="C104" s="20"/>
      <c r="D104" s="163"/>
    </row>
    <row r="105">
      <c r="A105" s="164"/>
      <c r="B105" s="165">
        <v>1.0</v>
      </c>
      <c r="C105" s="26" t="s">
        <v>313</v>
      </c>
      <c r="D105" s="26" t="s">
        <v>314</v>
      </c>
    </row>
    <row r="106">
      <c r="A106" s="95"/>
      <c r="B106" s="165">
        <v>2.0</v>
      </c>
      <c r="C106" s="26" t="s">
        <v>315</v>
      </c>
      <c r="D106" s="26" t="s">
        <v>316</v>
      </c>
    </row>
    <row r="107">
      <c r="A107" s="95"/>
      <c r="B107" s="165">
        <v>3.0</v>
      </c>
      <c r="C107" s="26" t="s">
        <v>317</v>
      </c>
      <c r="D107" s="26" t="s">
        <v>318</v>
      </c>
    </row>
    <row r="108">
      <c r="A108" s="7"/>
      <c r="B108" s="165">
        <v>4.0</v>
      </c>
      <c r="C108" s="26" t="s">
        <v>319</v>
      </c>
      <c r="D108" s="26" t="s">
        <v>320</v>
      </c>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sheetData>
  <mergeCells count="31">
    <mergeCell ref="A1:C3"/>
    <mergeCell ref="D1:D3"/>
    <mergeCell ref="A4:C4"/>
    <mergeCell ref="A5:C5"/>
    <mergeCell ref="A6:C6"/>
    <mergeCell ref="A7:A8"/>
    <mergeCell ref="D7:D8"/>
    <mergeCell ref="B30:C30"/>
    <mergeCell ref="B37:C37"/>
    <mergeCell ref="B7:C8"/>
    <mergeCell ref="A9:C9"/>
    <mergeCell ref="B10:C10"/>
    <mergeCell ref="A11:A16"/>
    <mergeCell ref="B17:C17"/>
    <mergeCell ref="A18:A29"/>
    <mergeCell ref="A31:A36"/>
    <mergeCell ref="A68:A79"/>
    <mergeCell ref="A81:A87"/>
    <mergeCell ref="A89:A94"/>
    <mergeCell ref="A96:A103"/>
    <mergeCell ref="A105:A108"/>
    <mergeCell ref="B88:C88"/>
    <mergeCell ref="B95:C95"/>
    <mergeCell ref="B104:C104"/>
    <mergeCell ref="A38:A42"/>
    <mergeCell ref="B43:C43"/>
    <mergeCell ref="A44:A54"/>
    <mergeCell ref="B55:C55"/>
    <mergeCell ref="A56:A66"/>
    <mergeCell ref="B67:C67"/>
    <mergeCell ref="B80:C8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showGridLines="0" workbookViewId="0"/>
  </sheetViews>
  <sheetFormatPr customHeight="1" defaultColWidth="11.22" defaultRowHeight="15.0"/>
  <cols>
    <col customWidth="1" min="1" max="1" width="10.56"/>
    <col customWidth="1" min="2" max="2" width="17.67"/>
    <col customWidth="1" min="3" max="3" width="60.78"/>
    <col customWidth="1" min="4" max="4" width="10.56"/>
    <col customWidth="1" min="5" max="5" width="10.78"/>
    <col customWidth="1" min="6" max="6" width="60.78"/>
    <col customWidth="1" min="7" max="26" width="10.56"/>
  </cols>
  <sheetData>
    <row r="1" ht="19.5" customHeight="1">
      <c r="A1" s="88"/>
      <c r="B1" s="89"/>
      <c r="C1" s="166" t="s">
        <v>76</v>
      </c>
      <c r="D1" s="167"/>
      <c r="E1" s="89"/>
      <c r="F1" s="168" t="s">
        <v>321</v>
      </c>
    </row>
    <row r="2" ht="19.5" customHeight="1">
      <c r="A2" s="92"/>
      <c r="B2" s="93"/>
      <c r="C2" s="92"/>
      <c r="E2" s="93"/>
      <c r="F2" s="94"/>
    </row>
    <row r="3" ht="19.5" customHeight="1">
      <c r="A3" s="96"/>
      <c r="B3" s="97"/>
      <c r="C3" s="92"/>
      <c r="E3" s="93"/>
      <c r="F3" s="48"/>
    </row>
    <row r="4" ht="15.75" hidden="1" customHeight="1">
      <c r="A4" s="145"/>
      <c r="B4" s="169"/>
      <c r="C4" s="92"/>
      <c r="E4" s="93"/>
      <c r="F4" s="170" t="s">
        <v>322</v>
      </c>
    </row>
    <row r="5" ht="15.75" hidden="1" customHeight="1">
      <c r="A5" s="145"/>
      <c r="B5" s="169"/>
      <c r="C5" s="96"/>
      <c r="D5" s="171"/>
      <c r="E5" s="97"/>
      <c r="F5" s="172" t="s">
        <v>323</v>
      </c>
    </row>
    <row r="6" ht="18.0" customHeight="1">
      <c r="A6" s="99" t="s">
        <v>78</v>
      </c>
      <c r="B6" s="9"/>
      <c r="C6" s="9"/>
      <c r="D6" s="100" t="s">
        <v>79</v>
      </c>
      <c r="E6" s="101"/>
      <c r="F6" s="102"/>
    </row>
    <row r="7" ht="18.0" customHeight="1">
      <c r="A7" s="50" t="s">
        <v>80</v>
      </c>
      <c r="B7" s="13"/>
      <c r="C7" s="13"/>
      <c r="D7" s="100" t="s">
        <v>81</v>
      </c>
      <c r="E7" s="101"/>
      <c r="F7" s="102"/>
    </row>
    <row r="8" ht="18.0" customHeight="1">
      <c r="A8" s="103" t="s">
        <v>82</v>
      </c>
      <c r="B8" s="15"/>
      <c r="C8" s="15"/>
      <c r="D8" s="100" t="s">
        <v>7</v>
      </c>
      <c r="E8" s="101"/>
      <c r="F8" s="102"/>
    </row>
    <row r="9" ht="15.75" customHeight="1">
      <c r="A9" s="104" t="s">
        <v>8</v>
      </c>
      <c r="B9" s="105" t="s">
        <v>83</v>
      </c>
      <c r="C9" s="89"/>
      <c r="D9" s="106" t="s">
        <v>84</v>
      </c>
      <c r="E9" s="102"/>
      <c r="F9" s="104" t="s">
        <v>49</v>
      </c>
    </row>
    <row r="10" ht="15.75" customHeight="1">
      <c r="A10" s="107"/>
      <c r="B10" s="96"/>
      <c r="C10" s="97"/>
      <c r="D10" s="108" t="s">
        <v>85</v>
      </c>
      <c r="E10" s="108" t="s">
        <v>86</v>
      </c>
      <c r="F10" s="107"/>
    </row>
    <row r="11" ht="15.75" customHeight="1">
      <c r="A11" s="109" t="s">
        <v>324</v>
      </c>
      <c r="B11" s="101"/>
      <c r="C11" s="102"/>
      <c r="D11" s="173" t="s">
        <v>88</v>
      </c>
      <c r="E11" s="173" t="s">
        <v>88</v>
      </c>
      <c r="F11" s="174"/>
    </row>
    <row r="12" ht="34.5" customHeight="1">
      <c r="A12" s="124">
        <v>4.1</v>
      </c>
      <c r="B12" s="125" t="s">
        <v>325</v>
      </c>
      <c r="C12" s="102"/>
      <c r="D12" s="115"/>
      <c r="E12" s="115"/>
      <c r="F12" s="175"/>
    </row>
    <row r="13" ht="34.5" customHeight="1">
      <c r="A13" s="176"/>
      <c r="B13" s="129">
        <v>1.0</v>
      </c>
      <c r="C13" s="130" t="s">
        <v>326</v>
      </c>
      <c r="D13" s="121" t="s">
        <v>88</v>
      </c>
      <c r="E13" s="121" t="s">
        <v>88</v>
      </c>
      <c r="F13" s="177"/>
    </row>
    <row r="14" ht="34.5" customHeight="1">
      <c r="A14" s="123"/>
      <c r="B14" s="129">
        <v>2.0</v>
      </c>
      <c r="C14" s="130" t="s">
        <v>327</v>
      </c>
      <c r="D14" s="121" t="s">
        <v>88</v>
      </c>
      <c r="E14" s="121" t="s">
        <v>88</v>
      </c>
      <c r="F14" s="177"/>
    </row>
    <row r="15" ht="34.5" customHeight="1">
      <c r="A15" s="123"/>
      <c r="B15" s="129">
        <v>3.0</v>
      </c>
      <c r="C15" s="130" t="s">
        <v>328</v>
      </c>
      <c r="D15" s="121" t="s">
        <v>88</v>
      </c>
      <c r="E15" s="121" t="s">
        <v>88</v>
      </c>
      <c r="F15" s="177"/>
    </row>
    <row r="16" ht="34.5" customHeight="1">
      <c r="A16" s="107"/>
      <c r="B16" s="129">
        <v>4.0</v>
      </c>
      <c r="C16" s="130" t="s">
        <v>329</v>
      </c>
      <c r="D16" s="121" t="s">
        <v>88</v>
      </c>
      <c r="E16" s="121" t="s">
        <v>88</v>
      </c>
      <c r="F16" s="177"/>
    </row>
    <row r="17" ht="34.5" customHeight="1">
      <c r="A17" s="124">
        <v>4.2</v>
      </c>
      <c r="B17" s="125" t="s">
        <v>330</v>
      </c>
      <c r="C17" s="102"/>
      <c r="D17" s="115"/>
      <c r="E17" s="115"/>
      <c r="F17" s="175"/>
    </row>
    <row r="18" ht="34.5" customHeight="1">
      <c r="A18" s="176"/>
      <c r="B18" s="129">
        <v>5.0</v>
      </c>
      <c r="C18" s="130" t="s">
        <v>330</v>
      </c>
      <c r="D18" s="121" t="s">
        <v>88</v>
      </c>
      <c r="E18" s="121" t="s">
        <v>88</v>
      </c>
      <c r="F18" s="177"/>
    </row>
    <row r="19" ht="34.5" customHeight="1">
      <c r="A19" s="123"/>
      <c r="B19" s="129">
        <v>6.0</v>
      </c>
      <c r="C19" s="178" t="s">
        <v>331</v>
      </c>
      <c r="D19" s="121" t="s">
        <v>88</v>
      </c>
      <c r="E19" s="121" t="s">
        <v>88</v>
      </c>
      <c r="F19" s="177"/>
    </row>
    <row r="20" ht="34.5" customHeight="1">
      <c r="A20" s="107"/>
      <c r="B20" s="129">
        <v>7.0</v>
      </c>
      <c r="C20" s="130" t="s">
        <v>332</v>
      </c>
      <c r="D20" s="121" t="s">
        <v>88</v>
      </c>
      <c r="E20" s="121" t="s">
        <v>88</v>
      </c>
      <c r="F20" s="177"/>
    </row>
    <row r="21" ht="34.5" customHeight="1">
      <c r="A21" s="124">
        <v>4.3</v>
      </c>
      <c r="B21" s="125" t="s">
        <v>333</v>
      </c>
      <c r="C21" s="102"/>
      <c r="D21" s="179"/>
      <c r="E21" s="179"/>
      <c r="F21" s="179"/>
    </row>
    <row r="22" ht="34.5" customHeight="1">
      <c r="A22" s="176"/>
      <c r="B22" s="129">
        <v>8.0</v>
      </c>
      <c r="C22" s="177" t="s">
        <v>334</v>
      </c>
      <c r="D22" s="121" t="s">
        <v>88</v>
      </c>
      <c r="E22" s="121" t="s">
        <v>88</v>
      </c>
      <c r="F22" s="180"/>
    </row>
    <row r="23" ht="34.5" customHeight="1">
      <c r="A23" s="123"/>
      <c r="B23" s="129">
        <v>9.0</v>
      </c>
      <c r="C23" s="177" t="s">
        <v>335</v>
      </c>
      <c r="D23" s="121" t="s">
        <v>88</v>
      </c>
      <c r="E23" s="121" t="s">
        <v>88</v>
      </c>
      <c r="F23" s="180"/>
    </row>
    <row r="24" ht="34.5" customHeight="1">
      <c r="A24" s="123"/>
      <c r="B24" s="129">
        <v>10.0</v>
      </c>
      <c r="C24" s="177" t="s">
        <v>336</v>
      </c>
      <c r="D24" s="121" t="s">
        <v>88</v>
      </c>
      <c r="E24" s="121" t="s">
        <v>88</v>
      </c>
      <c r="F24" s="180"/>
    </row>
    <row r="25" ht="34.5" customHeight="1">
      <c r="A25" s="123"/>
      <c r="B25" s="129">
        <v>11.0</v>
      </c>
      <c r="C25" s="177" t="s">
        <v>337</v>
      </c>
      <c r="D25" s="121" t="s">
        <v>88</v>
      </c>
      <c r="E25" s="121" t="s">
        <v>88</v>
      </c>
      <c r="F25" s="180"/>
    </row>
    <row r="26" ht="34.5" customHeight="1">
      <c r="A26" s="123"/>
      <c r="B26" s="129">
        <v>12.0</v>
      </c>
      <c r="C26" s="177" t="s">
        <v>338</v>
      </c>
      <c r="D26" s="121" t="s">
        <v>88</v>
      </c>
      <c r="E26" s="121" t="s">
        <v>88</v>
      </c>
      <c r="F26" s="180"/>
    </row>
    <row r="27" ht="34.5" customHeight="1">
      <c r="A27" s="123"/>
      <c r="B27" s="129">
        <v>13.0</v>
      </c>
      <c r="C27" s="177" t="s">
        <v>339</v>
      </c>
      <c r="D27" s="121" t="s">
        <v>88</v>
      </c>
      <c r="E27" s="121" t="s">
        <v>88</v>
      </c>
      <c r="F27" s="180"/>
    </row>
    <row r="28" ht="34.5" customHeight="1">
      <c r="A28" s="123"/>
      <c r="B28" s="129">
        <v>14.0</v>
      </c>
      <c r="C28" s="177" t="s">
        <v>340</v>
      </c>
      <c r="D28" s="121" t="s">
        <v>88</v>
      </c>
      <c r="E28" s="121" t="s">
        <v>88</v>
      </c>
      <c r="F28" s="180"/>
    </row>
    <row r="29" ht="34.5" customHeight="1">
      <c r="A29" s="123"/>
      <c r="B29" s="129">
        <v>15.0</v>
      </c>
      <c r="C29" s="177" t="s">
        <v>341</v>
      </c>
      <c r="D29" s="121" t="s">
        <v>88</v>
      </c>
      <c r="E29" s="121" t="s">
        <v>88</v>
      </c>
      <c r="F29" s="180"/>
    </row>
    <row r="30" ht="34.5" customHeight="1">
      <c r="A30" s="123"/>
      <c r="B30" s="129">
        <v>16.0</v>
      </c>
      <c r="C30" s="177" t="s">
        <v>342</v>
      </c>
      <c r="D30" s="121" t="s">
        <v>88</v>
      </c>
      <c r="E30" s="121" t="s">
        <v>88</v>
      </c>
      <c r="F30" s="180"/>
    </row>
    <row r="31" ht="34.5" customHeight="1">
      <c r="A31" s="123"/>
      <c r="B31" s="129">
        <v>17.0</v>
      </c>
      <c r="C31" s="177" t="s">
        <v>343</v>
      </c>
      <c r="D31" s="121" t="s">
        <v>88</v>
      </c>
      <c r="E31" s="121" t="s">
        <v>88</v>
      </c>
      <c r="F31" s="180"/>
    </row>
    <row r="32" ht="34.5" customHeight="1">
      <c r="A32" s="123"/>
      <c r="B32" s="129">
        <v>18.0</v>
      </c>
      <c r="C32" s="177" t="s">
        <v>344</v>
      </c>
      <c r="D32" s="121" t="s">
        <v>88</v>
      </c>
      <c r="E32" s="121" t="s">
        <v>88</v>
      </c>
      <c r="F32" s="180"/>
    </row>
    <row r="33" ht="34.5" customHeight="1">
      <c r="A33" s="107"/>
      <c r="B33" s="129">
        <v>19.0</v>
      </c>
      <c r="C33" s="177" t="s">
        <v>345</v>
      </c>
      <c r="D33" s="121" t="s">
        <v>88</v>
      </c>
      <c r="E33" s="121" t="s">
        <v>88</v>
      </c>
      <c r="F33" s="180"/>
    </row>
    <row r="34" ht="34.5" customHeight="1">
      <c r="A34" s="124">
        <v>4.4</v>
      </c>
      <c r="B34" s="125" t="s">
        <v>346</v>
      </c>
      <c r="C34" s="102"/>
      <c r="D34" s="179"/>
      <c r="E34" s="179"/>
      <c r="F34" s="179"/>
    </row>
    <row r="35" ht="34.5" customHeight="1">
      <c r="A35" s="176"/>
      <c r="B35" s="129">
        <v>20.0</v>
      </c>
      <c r="C35" s="130" t="s">
        <v>347</v>
      </c>
      <c r="D35" s="121" t="s">
        <v>88</v>
      </c>
      <c r="E35" s="121" t="s">
        <v>88</v>
      </c>
      <c r="F35" s="180"/>
    </row>
    <row r="36" ht="34.5" customHeight="1">
      <c r="A36" s="123"/>
      <c r="B36" s="129">
        <v>21.0</v>
      </c>
      <c r="C36" s="130" t="s">
        <v>348</v>
      </c>
      <c r="D36" s="121" t="s">
        <v>88</v>
      </c>
      <c r="E36" s="121" t="s">
        <v>88</v>
      </c>
      <c r="F36" s="180"/>
    </row>
    <row r="37" ht="34.5" customHeight="1">
      <c r="A37" s="123"/>
      <c r="B37" s="129">
        <v>22.0</v>
      </c>
      <c r="C37" s="130" t="s">
        <v>349</v>
      </c>
      <c r="D37" s="121" t="s">
        <v>88</v>
      </c>
      <c r="E37" s="121" t="s">
        <v>88</v>
      </c>
      <c r="F37" s="180"/>
    </row>
    <row r="38" ht="34.5" customHeight="1">
      <c r="A38" s="123"/>
      <c r="B38" s="129">
        <v>23.0</v>
      </c>
      <c r="C38" s="178" t="s">
        <v>350</v>
      </c>
      <c r="D38" s="121" t="s">
        <v>88</v>
      </c>
      <c r="E38" s="121" t="s">
        <v>88</v>
      </c>
      <c r="F38" s="180"/>
    </row>
    <row r="39" ht="34.5" customHeight="1">
      <c r="A39" s="123"/>
      <c r="B39" s="129">
        <v>24.0</v>
      </c>
      <c r="C39" s="130" t="s">
        <v>351</v>
      </c>
      <c r="D39" s="121" t="s">
        <v>88</v>
      </c>
      <c r="E39" s="121" t="s">
        <v>88</v>
      </c>
      <c r="F39" s="180"/>
    </row>
    <row r="40" ht="34.5" customHeight="1">
      <c r="A40" s="107"/>
      <c r="B40" s="129">
        <v>25.0</v>
      </c>
      <c r="C40" s="178" t="s">
        <v>352</v>
      </c>
      <c r="D40" s="121" t="s">
        <v>88</v>
      </c>
      <c r="E40" s="121" t="s">
        <v>88</v>
      </c>
      <c r="F40" s="180"/>
    </row>
    <row r="41" ht="34.5" customHeight="1">
      <c r="A41" s="124">
        <v>4.5</v>
      </c>
      <c r="B41" s="125" t="s">
        <v>353</v>
      </c>
      <c r="C41" s="102"/>
      <c r="D41" s="179"/>
      <c r="E41" s="179"/>
      <c r="F41" s="179"/>
    </row>
    <row r="42" ht="34.5" customHeight="1">
      <c r="A42" s="176"/>
      <c r="B42" s="129">
        <v>26.0</v>
      </c>
      <c r="C42" s="130" t="s">
        <v>354</v>
      </c>
      <c r="D42" s="121" t="s">
        <v>88</v>
      </c>
      <c r="E42" s="121" t="s">
        <v>88</v>
      </c>
      <c r="F42" s="180"/>
    </row>
    <row r="43" ht="34.5" customHeight="1">
      <c r="A43" s="107"/>
      <c r="B43" s="129">
        <v>27.0</v>
      </c>
      <c r="C43" s="130" t="s">
        <v>355</v>
      </c>
      <c r="D43" s="121" t="s">
        <v>88</v>
      </c>
      <c r="E43" s="121" t="s">
        <v>88</v>
      </c>
      <c r="F43" s="180"/>
    </row>
    <row r="44" ht="34.5" customHeight="1">
      <c r="A44" s="124">
        <v>4.6</v>
      </c>
      <c r="B44" s="125" t="s">
        <v>356</v>
      </c>
      <c r="C44" s="102"/>
      <c r="D44" s="179"/>
      <c r="E44" s="179"/>
      <c r="F44" s="179"/>
    </row>
    <row r="45" ht="34.5" customHeight="1">
      <c r="A45" s="176"/>
      <c r="B45" s="129">
        <v>28.0</v>
      </c>
      <c r="C45" s="130" t="s">
        <v>356</v>
      </c>
      <c r="D45" s="121" t="s">
        <v>88</v>
      </c>
      <c r="E45" s="121" t="s">
        <v>88</v>
      </c>
      <c r="F45" s="180"/>
    </row>
    <row r="46" ht="34.5" customHeight="1">
      <c r="A46" s="107"/>
      <c r="B46" s="129">
        <v>29.0</v>
      </c>
      <c r="C46" s="130" t="s">
        <v>357</v>
      </c>
      <c r="D46" s="121" t="s">
        <v>88</v>
      </c>
      <c r="E46" s="121" t="s">
        <v>88</v>
      </c>
      <c r="F46" s="180"/>
    </row>
    <row r="47" ht="34.5" customHeight="1">
      <c r="A47" s="181">
        <v>4.7</v>
      </c>
      <c r="B47" s="182" t="s">
        <v>358</v>
      </c>
      <c r="C47" s="102"/>
      <c r="D47" s="183"/>
      <c r="E47" s="183"/>
      <c r="F47" s="183"/>
    </row>
    <row r="48" ht="34.5" customHeight="1">
      <c r="A48" s="184"/>
      <c r="B48" s="185">
        <v>30.0</v>
      </c>
      <c r="C48" s="130" t="s">
        <v>359</v>
      </c>
      <c r="D48" s="121" t="s">
        <v>88</v>
      </c>
      <c r="E48" s="121" t="s">
        <v>88</v>
      </c>
      <c r="F48" s="186"/>
    </row>
    <row r="49" ht="34.5" customHeight="1">
      <c r="A49" s="123"/>
      <c r="B49" s="185">
        <v>31.0</v>
      </c>
      <c r="C49" s="130" t="s">
        <v>360</v>
      </c>
      <c r="D49" s="121" t="s">
        <v>88</v>
      </c>
      <c r="E49" s="121" t="s">
        <v>88</v>
      </c>
      <c r="F49" s="186"/>
    </row>
    <row r="50" ht="34.5" customHeight="1">
      <c r="A50" s="123"/>
      <c r="B50" s="185">
        <v>32.0</v>
      </c>
      <c r="C50" s="130" t="s">
        <v>361</v>
      </c>
      <c r="D50" s="121" t="s">
        <v>88</v>
      </c>
      <c r="E50" s="121" t="s">
        <v>88</v>
      </c>
      <c r="F50" s="186"/>
    </row>
    <row r="51" ht="34.5" customHeight="1">
      <c r="A51" s="107"/>
      <c r="B51" s="185">
        <v>33.0</v>
      </c>
      <c r="C51" s="130" t="s">
        <v>362</v>
      </c>
      <c r="D51" s="121" t="s">
        <v>88</v>
      </c>
      <c r="E51" s="121" t="s">
        <v>88</v>
      </c>
      <c r="F51" s="186"/>
    </row>
    <row r="52" ht="34.5" customHeight="1">
      <c r="A52" s="181">
        <v>4.8</v>
      </c>
      <c r="B52" s="182" t="s">
        <v>363</v>
      </c>
      <c r="C52" s="102"/>
      <c r="D52" s="183"/>
      <c r="E52" s="183"/>
      <c r="F52" s="183"/>
    </row>
    <row r="53" ht="34.5" customHeight="1">
      <c r="A53" s="184"/>
      <c r="B53" s="185">
        <v>34.0</v>
      </c>
      <c r="C53" s="187" t="s">
        <v>364</v>
      </c>
      <c r="D53" s="121" t="s">
        <v>88</v>
      </c>
      <c r="E53" s="121" t="s">
        <v>88</v>
      </c>
      <c r="F53" s="186"/>
    </row>
    <row r="54" ht="34.5" customHeight="1">
      <c r="A54" s="123"/>
      <c r="B54" s="185">
        <v>35.0</v>
      </c>
      <c r="C54" s="130" t="s">
        <v>365</v>
      </c>
      <c r="D54" s="121" t="s">
        <v>88</v>
      </c>
      <c r="E54" s="121" t="s">
        <v>88</v>
      </c>
      <c r="F54" s="186"/>
    </row>
    <row r="55" ht="34.5" customHeight="1">
      <c r="A55" s="123"/>
      <c r="B55" s="185">
        <v>36.0</v>
      </c>
      <c r="C55" s="178" t="s">
        <v>366</v>
      </c>
      <c r="D55" s="121" t="s">
        <v>88</v>
      </c>
      <c r="E55" s="121" t="s">
        <v>88</v>
      </c>
      <c r="F55" s="186"/>
    </row>
    <row r="56" ht="34.5" customHeight="1">
      <c r="A56" s="107"/>
      <c r="B56" s="185">
        <v>37.0</v>
      </c>
      <c r="C56" s="130" t="s">
        <v>367</v>
      </c>
      <c r="D56" s="121" t="s">
        <v>88</v>
      </c>
      <c r="E56" s="121" t="s">
        <v>88</v>
      </c>
      <c r="F56" s="186"/>
    </row>
    <row r="57" ht="34.5" customHeight="1">
      <c r="A57" s="181">
        <v>4.9</v>
      </c>
      <c r="B57" s="182" t="s">
        <v>368</v>
      </c>
      <c r="C57" s="102"/>
      <c r="D57" s="183"/>
      <c r="E57" s="183"/>
      <c r="F57" s="183"/>
    </row>
    <row r="58" ht="34.5" customHeight="1">
      <c r="A58" s="184"/>
      <c r="B58" s="185">
        <v>38.0</v>
      </c>
      <c r="C58" s="188" t="s">
        <v>369</v>
      </c>
      <c r="D58" s="121" t="s">
        <v>88</v>
      </c>
      <c r="E58" s="121" t="s">
        <v>88</v>
      </c>
      <c r="F58" s="186"/>
    </row>
    <row r="59" ht="34.5" customHeight="1">
      <c r="A59" s="123"/>
      <c r="B59" s="185">
        <v>39.0</v>
      </c>
      <c r="C59" s="189" t="s">
        <v>370</v>
      </c>
      <c r="D59" s="121" t="s">
        <v>88</v>
      </c>
      <c r="E59" s="121" t="s">
        <v>88</v>
      </c>
      <c r="F59" s="186"/>
    </row>
    <row r="60" ht="34.5" customHeight="1">
      <c r="A60" s="123"/>
      <c r="B60" s="185">
        <v>40.0</v>
      </c>
      <c r="C60" s="177" t="s">
        <v>371</v>
      </c>
      <c r="D60" s="121" t="s">
        <v>88</v>
      </c>
      <c r="E60" s="121" t="s">
        <v>88</v>
      </c>
      <c r="F60" s="186"/>
    </row>
    <row r="61" ht="34.5" customHeight="1">
      <c r="A61" s="107"/>
      <c r="B61" s="185">
        <v>41.0</v>
      </c>
      <c r="C61" s="190" t="s">
        <v>372</v>
      </c>
      <c r="D61" s="121" t="s">
        <v>88</v>
      </c>
      <c r="E61" s="121" t="s">
        <v>88</v>
      </c>
      <c r="F61" s="186"/>
    </row>
    <row r="62" ht="16.5" customHeight="1">
      <c r="A62" s="191"/>
      <c r="B62" s="192"/>
    </row>
    <row r="63" ht="15.75" customHeight="1">
      <c r="A63" s="191"/>
      <c r="B63" s="192"/>
    </row>
    <row r="64" ht="15.75" customHeight="1">
      <c r="A64" s="191"/>
      <c r="B64" s="192"/>
    </row>
    <row r="65" ht="15.75" customHeight="1">
      <c r="A65" s="191"/>
      <c r="B65" s="192"/>
    </row>
    <row r="66" ht="15.75" customHeight="1">
      <c r="A66" s="191"/>
      <c r="B66" s="192"/>
    </row>
    <row r="67" ht="15.75" customHeight="1">
      <c r="A67" s="191"/>
      <c r="B67" s="192"/>
    </row>
    <row r="68" ht="31.5" customHeight="1">
      <c r="A68" s="191"/>
      <c r="B68" s="192"/>
    </row>
    <row r="69" ht="15.75" customHeight="1">
      <c r="A69" s="191"/>
      <c r="B69" s="192"/>
    </row>
    <row r="70" ht="31.5" customHeight="1">
      <c r="A70" s="191"/>
      <c r="B70" s="192"/>
    </row>
    <row r="71" ht="15.75" customHeight="1">
      <c r="A71" s="191"/>
      <c r="B71" s="192"/>
    </row>
    <row r="72" ht="15.75" customHeight="1">
      <c r="A72" s="191"/>
      <c r="B72" s="192"/>
    </row>
    <row r="73" ht="31.5" customHeight="1">
      <c r="A73" s="191"/>
      <c r="B73" s="192"/>
    </row>
    <row r="74" ht="31.5" customHeight="1">
      <c r="A74" s="191"/>
      <c r="B74" s="192"/>
    </row>
    <row r="75" ht="15.75" customHeight="1">
      <c r="A75" s="191"/>
      <c r="B75" s="192"/>
    </row>
    <row r="76" ht="31.5" customHeight="1">
      <c r="A76" s="191"/>
      <c r="B76" s="192"/>
    </row>
    <row r="77" ht="31.5" customHeight="1">
      <c r="A77" s="191"/>
      <c r="B77" s="192"/>
    </row>
    <row r="78" ht="31.5" customHeight="1">
      <c r="A78" s="191"/>
      <c r="B78" s="192"/>
    </row>
    <row r="79" ht="31.5" customHeight="1">
      <c r="A79" s="191"/>
      <c r="B79" s="192"/>
    </row>
    <row r="80" ht="15.75" customHeight="1">
      <c r="A80" s="191"/>
      <c r="B80" s="192"/>
    </row>
    <row r="81" ht="31.5" customHeight="1">
      <c r="A81" s="191"/>
      <c r="B81" s="192"/>
    </row>
    <row r="82" ht="15.75" customHeight="1">
      <c r="A82" s="191"/>
      <c r="B82" s="192"/>
    </row>
    <row r="83" ht="31.5" customHeight="1">
      <c r="A83" s="191"/>
      <c r="B83" s="192"/>
    </row>
    <row r="84" ht="15.75" customHeight="1">
      <c r="A84" s="191"/>
      <c r="B84" s="192"/>
    </row>
    <row r="85" ht="15.75" customHeight="1">
      <c r="A85" s="191"/>
      <c r="B85" s="192"/>
    </row>
    <row r="86" ht="31.5" customHeight="1">
      <c r="A86" s="191"/>
      <c r="B86" s="192"/>
    </row>
    <row r="87" ht="31.5" customHeight="1">
      <c r="A87" s="191"/>
      <c r="B87" s="192"/>
    </row>
    <row r="88" ht="15.75" customHeight="1">
      <c r="A88" s="191"/>
      <c r="B88" s="192"/>
    </row>
    <row r="89" ht="79.5" customHeight="1">
      <c r="A89" s="191"/>
      <c r="B89" s="192"/>
    </row>
    <row r="90" ht="96.0" customHeight="1">
      <c r="A90" s="191"/>
      <c r="B90" s="192"/>
    </row>
    <row r="91" ht="15.75" customHeight="1">
      <c r="A91" s="191"/>
      <c r="B91" s="192"/>
    </row>
    <row r="92" ht="15.75" customHeight="1">
      <c r="A92" s="191"/>
      <c r="B92" s="192"/>
    </row>
    <row r="93" ht="15.75" customHeight="1">
      <c r="A93" s="191"/>
      <c r="B93" s="192"/>
    </row>
    <row r="94" ht="15.75" customHeight="1">
      <c r="A94" s="191"/>
      <c r="B94" s="192"/>
    </row>
    <row r="95" ht="31.5" customHeight="1">
      <c r="A95" s="191"/>
      <c r="B95" s="192"/>
    </row>
    <row r="96" ht="15.75" customHeight="1">
      <c r="A96" s="191"/>
      <c r="B96" s="192"/>
    </row>
    <row r="97" ht="15.75" customHeight="1">
      <c r="A97" s="191"/>
      <c r="B97" s="192"/>
    </row>
    <row r="98" ht="15.75" customHeight="1">
      <c r="A98" s="191"/>
      <c r="B98" s="192"/>
    </row>
    <row r="99" ht="15.75" customHeight="1">
      <c r="A99" s="191"/>
      <c r="B99" s="192"/>
    </row>
    <row r="100" ht="15.75" customHeight="1">
      <c r="A100" s="191"/>
      <c r="B100" s="192"/>
    </row>
    <row r="101" ht="15.75" customHeight="1">
      <c r="A101" s="191"/>
      <c r="B101" s="192"/>
    </row>
    <row r="102" ht="15.75" customHeight="1">
      <c r="A102" s="191"/>
      <c r="B102" s="192"/>
    </row>
    <row r="103" ht="15.75" customHeight="1">
      <c r="A103" s="191"/>
      <c r="B103" s="192"/>
    </row>
    <row r="104" ht="15.75" customHeight="1">
      <c r="A104" s="191"/>
      <c r="B104" s="192"/>
    </row>
    <row r="105" ht="15.75" customHeight="1">
      <c r="A105" s="191"/>
      <c r="B105" s="192"/>
    </row>
    <row r="106" ht="15.75" customHeight="1">
      <c r="A106" s="191"/>
      <c r="B106" s="192"/>
    </row>
    <row r="107" ht="15.75" customHeight="1">
      <c r="A107" s="191"/>
      <c r="B107" s="192"/>
    </row>
    <row r="108" ht="15.75" customHeight="1">
      <c r="A108" s="191"/>
      <c r="B108" s="192"/>
    </row>
    <row r="109" ht="15.75" customHeight="1">
      <c r="A109" s="191"/>
      <c r="B109" s="192"/>
    </row>
    <row r="110" ht="15.75" customHeight="1">
      <c r="A110" s="191"/>
      <c r="B110" s="192"/>
    </row>
    <row r="111" ht="15.75" customHeight="1">
      <c r="A111" s="191"/>
      <c r="B111" s="192"/>
    </row>
    <row r="112" ht="15.75" customHeight="1">
      <c r="A112" s="191"/>
      <c r="B112" s="192"/>
    </row>
    <row r="113" ht="15.75" customHeight="1">
      <c r="A113" s="191"/>
      <c r="B113" s="192"/>
    </row>
    <row r="114" ht="15.75" customHeight="1">
      <c r="A114" s="191"/>
      <c r="B114" s="192"/>
    </row>
    <row r="115" ht="15.75" customHeight="1">
      <c r="A115" s="191"/>
      <c r="B115" s="192"/>
    </row>
    <row r="116" ht="15.75" customHeight="1">
      <c r="A116" s="191"/>
      <c r="B116" s="192"/>
    </row>
    <row r="117" ht="15.75" customHeight="1">
      <c r="A117" s="191"/>
      <c r="B117" s="192"/>
    </row>
    <row r="118" ht="15.75" customHeight="1">
      <c r="A118" s="191"/>
      <c r="B118" s="192"/>
    </row>
    <row r="119" ht="15.75" customHeight="1">
      <c r="A119" s="191"/>
      <c r="B119" s="192"/>
    </row>
    <row r="120" ht="15.75" customHeight="1">
      <c r="A120" s="191"/>
      <c r="B120" s="192"/>
    </row>
    <row r="121" ht="15.75" customHeight="1">
      <c r="A121" s="191"/>
      <c r="B121" s="192"/>
    </row>
    <row r="122" ht="15.75" customHeight="1">
      <c r="A122" s="191"/>
      <c r="B122" s="192"/>
    </row>
    <row r="123" ht="15.75" customHeight="1">
      <c r="A123" s="191"/>
      <c r="B123" s="192"/>
    </row>
    <row r="124" ht="15.75" customHeight="1">
      <c r="A124" s="191"/>
      <c r="B124" s="192"/>
    </row>
    <row r="125" ht="15.75" customHeight="1">
      <c r="A125" s="191"/>
      <c r="B125" s="192"/>
    </row>
    <row r="126" ht="15.75" customHeight="1">
      <c r="A126" s="191"/>
      <c r="B126" s="192"/>
    </row>
    <row r="127" ht="15.75" customHeight="1">
      <c r="B127" s="192"/>
    </row>
    <row r="128" ht="15.75" customHeight="1">
      <c r="B128" s="192"/>
    </row>
    <row r="129" ht="15.75" customHeight="1">
      <c r="B129" s="192"/>
    </row>
    <row r="130" ht="15.75" customHeight="1">
      <c r="B130" s="192"/>
    </row>
    <row r="131" ht="15.75" customHeight="1">
      <c r="B131" s="192"/>
    </row>
    <row r="132" ht="15.75" customHeight="1">
      <c r="B132" s="192"/>
    </row>
    <row r="133" ht="15.75" customHeight="1">
      <c r="B133" s="192"/>
    </row>
    <row r="134" ht="15.75" customHeight="1">
      <c r="B134" s="192"/>
    </row>
    <row r="135" ht="15.75" customHeight="1">
      <c r="B135" s="192"/>
    </row>
    <row r="136" ht="15.75" customHeight="1">
      <c r="B136" s="192"/>
    </row>
    <row r="137" ht="15.75" customHeight="1">
      <c r="B137" s="192"/>
    </row>
    <row r="138" ht="15.75" customHeight="1">
      <c r="B138" s="192"/>
    </row>
    <row r="139" ht="15.75" customHeight="1">
      <c r="B139" s="192"/>
    </row>
    <row r="140" ht="15.75" customHeight="1">
      <c r="B140" s="192"/>
    </row>
    <row r="141" ht="15.75" customHeight="1">
      <c r="B141" s="192"/>
    </row>
    <row r="142" ht="15.75" customHeight="1">
      <c r="B142" s="192"/>
    </row>
    <row r="143" ht="15.75" customHeight="1">
      <c r="B143" s="192"/>
    </row>
    <row r="144" ht="15.75" customHeight="1">
      <c r="B144" s="192"/>
    </row>
    <row r="145" ht="15.75" customHeight="1">
      <c r="B145" s="192"/>
    </row>
    <row r="146" ht="15.75" customHeight="1">
      <c r="B146" s="192"/>
    </row>
    <row r="147" ht="15.75" customHeight="1">
      <c r="B147" s="192"/>
    </row>
    <row r="148" ht="15.75" customHeight="1">
      <c r="B148" s="192"/>
    </row>
    <row r="149" ht="15.75" customHeight="1">
      <c r="B149" s="192"/>
    </row>
    <row r="150" ht="15.75" customHeight="1">
      <c r="B150" s="192"/>
    </row>
    <row r="151" ht="15.75" customHeight="1">
      <c r="B151" s="192"/>
    </row>
    <row r="152" ht="15.75" customHeight="1">
      <c r="B152" s="192"/>
    </row>
    <row r="153" ht="15.75" customHeight="1">
      <c r="B153" s="192"/>
    </row>
    <row r="154" ht="15.75" customHeight="1">
      <c r="B154" s="192"/>
    </row>
    <row r="155" ht="15.75" customHeight="1">
      <c r="B155" s="192"/>
    </row>
    <row r="156" ht="15.75" customHeight="1">
      <c r="B156" s="192"/>
    </row>
    <row r="157" ht="15.75" customHeight="1">
      <c r="B157" s="192"/>
    </row>
    <row r="158" ht="15.75" customHeight="1">
      <c r="B158" s="192"/>
    </row>
    <row r="159" ht="15.75" customHeight="1">
      <c r="B159" s="192"/>
    </row>
    <row r="160" ht="15.75" customHeight="1">
      <c r="B160" s="192"/>
    </row>
    <row r="161" ht="15.75" customHeight="1">
      <c r="B161" s="192"/>
    </row>
    <row r="162" ht="15.75" customHeight="1">
      <c r="B162" s="192"/>
    </row>
    <row r="163" ht="15.75" customHeight="1">
      <c r="B163" s="192"/>
    </row>
    <row r="164" ht="15.75" customHeight="1">
      <c r="B164" s="192"/>
    </row>
    <row r="165" ht="15.75" customHeight="1">
      <c r="B165" s="192"/>
    </row>
    <row r="166" ht="15.75" customHeight="1">
      <c r="B166" s="192"/>
    </row>
    <row r="167" ht="15.75" customHeight="1">
      <c r="B167" s="192"/>
    </row>
    <row r="168" ht="15.75" customHeight="1">
      <c r="B168" s="192"/>
    </row>
    <row r="169" ht="15.75" customHeight="1">
      <c r="B169" s="192"/>
    </row>
    <row r="170" ht="15.75" customHeight="1">
      <c r="B170" s="192"/>
    </row>
    <row r="171" ht="15.75" customHeight="1">
      <c r="B171" s="192"/>
    </row>
    <row r="172" ht="15.75" customHeight="1">
      <c r="B172" s="192"/>
    </row>
    <row r="173" ht="15.75" customHeight="1">
      <c r="B173" s="192"/>
    </row>
    <row r="174" ht="15.75" customHeight="1">
      <c r="B174" s="192"/>
    </row>
    <row r="175" ht="15.75" customHeight="1">
      <c r="B175" s="192"/>
    </row>
    <row r="176" ht="15.75" customHeight="1">
      <c r="B176" s="192"/>
    </row>
    <row r="177" ht="15.75" customHeight="1">
      <c r="B177" s="192"/>
    </row>
    <row r="178" ht="15.75" customHeight="1">
      <c r="B178" s="192"/>
    </row>
    <row r="179" ht="15.75" customHeight="1">
      <c r="B179" s="192"/>
    </row>
    <row r="180" ht="15.75" customHeight="1">
      <c r="B180" s="192"/>
    </row>
    <row r="181" ht="15.75" customHeight="1">
      <c r="B181" s="192"/>
    </row>
    <row r="182" ht="15.75" customHeight="1">
      <c r="B182" s="192"/>
    </row>
    <row r="183" ht="15.75" customHeight="1">
      <c r="B183" s="192"/>
    </row>
    <row r="184" ht="15.75" customHeight="1">
      <c r="B184" s="192"/>
    </row>
    <row r="185" ht="15.75" customHeight="1">
      <c r="B185" s="192"/>
    </row>
    <row r="186" ht="15.75" customHeight="1">
      <c r="B186" s="192"/>
    </row>
    <row r="187" ht="15.75" customHeight="1">
      <c r="B187" s="192"/>
    </row>
    <row r="188" ht="15.75" customHeight="1">
      <c r="B188" s="192"/>
    </row>
    <row r="189" ht="15.75" customHeight="1">
      <c r="B189" s="192"/>
    </row>
    <row r="190" ht="15.75" customHeight="1">
      <c r="B190" s="192"/>
    </row>
    <row r="191" ht="15.75" customHeight="1">
      <c r="B191" s="192"/>
    </row>
    <row r="192" ht="15.75" customHeight="1">
      <c r="B192" s="192"/>
    </row>
    <row r="193" ht="15.75" customHeight="1">
      <c r="B193" s="192"/>
    </row>
    <row r="194" ht="15.75" customHeight="1">
      <c r="B194" s="192"/>
    </row>
    <row r="195" ht="15.75" customHeight="1">
      <c r="B195" s="192"/>
    </row>
    <row r="196" ht="15.75" customHeight="1">
      <c r="B196" s="192"/>
    </row>
    <row r="197" ht="15.75" customHeight="1">
      <c r="B197" s="192"/>
    </row>
    <row r="198" ht="15.75" customHeight="1">
      <c r="B198" s="192"/>
    </row>
    <row r="199" ht="15.75" customHeight="1">
      <c r="B199" s="192"/>
    </row>
    <row r="200" ht="15.75" customHeight="1">
      <c r="B200" s="192"/>
    </row>
    <row r="201" ht="15.75" customHeight="1">
      <c r="B201" s="192"/>
    </row>
    <row r="202" ht="15.75" customHeight="1">
      <c r="B202" s="192"/>
    </row>
    <row r="203" ht="15.75" customHeight="1">
      <c r="B203" s="192"/>
    </row>
    <row r="204" ht="15.75" customHeight="1">
      <c r="B204" s="192"/>
    </row>
    <row r="205" ht="15.75" customHeight="1">
      <c r="B205" s="192"/>
    </row>
    <row r="206" ht="15.75" customHeight="1">
      <c r="B206" s="192"/>
    </row>
    <row r="207" ht="15.75" customHeight="1">
      <c r="B207" s="192"/>
    </row>
    <row r="208" ht="15.75" customHeight="1">
      <c r="B208" s="192"/>
    </row>
    <row r="209" ht="15.75" customHeight="1">
      <c r="B209" s="192"/>
    </row>
    <row r="210" ht="15.75" customHeight="1">
      <c r="B210" s="192"/>
    </row>
    <row r="211" ht="15.75" customHeight="1">
      <c r="B211" s="192"/>
    </row>
    <row r="212" ht="15.75" customHeight="1">
      <c r="B212" s="192"/>
    </row>
    <row r="213" ht="15.75" customHeight="1">
      <c r="B213" s="192"/>
    </row>
    <row r="214" ht="15.75" customHeight="1">
      <c r="B214" s="192"/>
    </row>
    <row r="215" ht="15.75" customHeight="1">
      <c r="B215" s="192"/>
    </row>
    <row r="216" ht="15.75" customHeight="1">
      <c r="B216" s="192"/>
    </row>
    <row r="217" ht="15.75" customHeight="1">
      <c r="B217" s="192"/>
    </row>
    <row r="218" ht="15.75" customHeight="1">
      <c r="B218" s="192"/>
    </row>
    <row r="219" ht="15.75" customHeight="1">
      <c r="B219" s="192"/>
    </row>
    <row r="220" ht="15.75" customHeight="1">
      <c r="B220" s="192"/>
    </row>
    <row r="221" ht="15.75" customHeight="1">
      <c r="B221" s="192"/>
    </row>
    <row r="222" ht="15.75" customHeight="1">
      <c r="B222" s="192"/>
    </row>
    <row r="223" ht="15.75" customHeight="1">
      <c r="B223" s="192"/>
    </row>
    <row r="224" ht="15.75" customHeight="1">
      <c r="B224" s="192"/>
    </row>
    <row r="225" ht="15.75" customHeight="1">
      <c r="B225" s="192"/>
    </row>
    <row r="226" ht="15.75" customHeight="1">
      <c r="B226" s="192"/>
    </row>
    <row r="227" ht="15.75" customHeight="1">
      <c r="B227" s="192"/>
    </row>
    <row r="228" ht="15.75" customHeight="1">
      <c r="B228" s="192"/>
    </row>
    <row r="229" ht="15.75" customHeight="1">
      <c r="B229" s="192"/>
    </row>
    <row r="230" ht="15.75" customHeight="1">
      <c r="B230" s="192"/>
    </row>
    <row r="231" ht="15.75" customHeight="1">
      <c r="B231" s="192"/>
    </row>
    <row r="232" ht="15.75" customHeight="1">
      <c r="B232" s="192"/>
    </row>
    <row r="233" ht="15.75" customHeight="1">
      <c r="B233" s="192"/>
    </row>
    <row r="234" ht="15.75" customHeight="1">
      <c r="B234" s="192"/>
    </row>
    <row r="235" ht="15.75" customHeight="1">
      <c r="B235" s="192"/>
    </row>
    <row r="236" ht="15.75" customHeight="1">
      <c r="B236" s="192"/>
    </row>
    <row r="237" ht="15.75" customHeight="1">
      <c r="B237" s="192"/>
    </row>
    <row r="238" ht="15.75" customHeight="1">
      <c r="B238" s="192"/>
    </row>
    <row r="239" ht="15.75" customHeight="1">
      <c r="B239" s="192"/>
    </row>
    <row r="240" ht="15.75" customHeight="1">
      <c r="B240" s="192"/>
    </row>
    <row r="241" ht="15.75" customHeight="1">
      <c r="B241" s="192"/>
    </row>
    <row r="242" ht="15.75" customHeight="1">
      <c r="B242" s="192"/>
    </row>
    <row r="243" ht="15.75" customHeight="1">
      <c r="B243" s="192"/>
    </row>
    <row r="244" ht="15.75" customHeight="1">
      <c r="B244" s="192"/>
    </row>
    <row r="245" ht="15.75" customHeight="1">
      <c r="B245" s="192"/>
    </row>
    <row r="246" ht="15.75" customHeight="1">
      <c r="B246" s="192"/>
    </row>
    <row r="247" ht="15.75" customHeight="1">
      <c r="B247" s="192"/>
    </row>
    <row r="248" ht="15.75" customHeight="1">
      <c r="B248" s="192"/>
    </row>
    <row r="249" ht="15.75" customHeight="1">
      <c r="B249" s="192"/>
    </row>
    <row r="250" ht="15.75" customHeight="1">
      <c r="B250" s="192"/>
    </row>
    <row r="251" ht="15.75" customHeight="1">
      <c r="B251" s="192"/>
    </row>
    <row r="252" ht="15.75" customHeight="1">
      <c r="B252" s="192"/>
    </row>
    <row r="253" ht="15.75" customHeight="1">
      <c r="B253" s="192"/>
    </row>
    <row r="254" ht="15.75" customHeight="1">
      <c r="B254" s="192"/>
    </row>
    <row r="255" ht="15.75" customHeight="1">
      <c r="B255" s="192"/>
    </row>
    <row r="256" ht="15.75" customHeight="1">
      <c r="B256" s="192"/>
    </row>
    <row r="257" ht="15.75" customHeight="1">
      <c r="B257" s="192"/>
    </row>
    <row r="258" ht="15.75" customHeight="1">
      <c r="B258" s="192"/>
    </row>
    <row r="259" ht="15.75" customHeight="1">
      <c r="B259" s="192"/>
    </row>
    <row r="260" ht="15.75" customHeight="1">
      <c r="B260" s="192"/>
    </row>
    <row r="261" ht="15.75" customHeight="1">
      <c r="B261" s="192"/>
    </row>
    <row r="262" ht="15.75" customHeight="1">
      <c r="B262" s="192"/>
    </row>
    <row r="263" ht="15.75" customHeight="1">
      <c r="B263" s="192"/>
    </row>
    <row r="264" ht="15.75" customHeight="1">
      <c r="B264" s="192"/>
    </row>
    <row r="265" ht="15.75" customHeight="1">
      <c r="B265" s="192"/>
    </row>
    <row r="266" ht="15.75" customHeight="1">
      <c r="B266" s="192"/>
    </row>
    <row r="267" ht="15.75" customHeight="1">
      <c r="B267" s="192"/>
    </row>
    <row r="268" ht="15.75" customHeight="1">
      <c r="B268" s="192"/>
    </row>
    <row r="269" ht="15.75" customHeight="1">
      <c r="B269" s="192"/>
    </row>
    <row r="270" ht="15.75" customHeight="1">
      <c r="B270" s="192"/>
    </row>
    <row r="271" ht="15.75" customHeight="1">
      <c r="B271" s="192"/>
    </row>
    <row r="272" ht="15.75" customHeight="1">
      <c r="B272" s="192"/>
    </row>
    <row r="273" ht="15.75" customHeight="1">
      <c r="B273" s="192"/>
    </row>
    <row r="274" ht="15.75" customHeight="1">
      <c r="B274" s="192"/>
    </row>
    <row r="275" ht="15.75" customHeight="1">
      <c r="B275" s="192"/>
    </row>
    <row r="276" ht="15.75" customHeight="1">
      <c r="B276" s="192"/>
    </row>
    <row r="277" ht="15.75" customHeight="1">
      <c r="B277" s="192"/>
    </row>
    <row r="278" ht="15.75" customHeight="1">
      <c r="B278" s="192"/>
    </row>
    <row r="279" ht="15.75" customHeight="1">
      <c r="B279" s="192"/>
    </row>
    <row r="280" ht="15.75" customHeight="1">
      <c r="B280" s="192"/>
    </row>
    <row r="281" ht="15.75" customHeight="1">
      <c r="B281" s="192"/>
    </row>
    <row r="282" ht="15.75" customHeight="1">
      <c r="B282" s="192"/>
    </row>
    <row r="283" ht="15.75" customHeight="1">
      <c r="B283" s="192"/>
    </row>
    <row r="284" ht="15.75" customHeight="1">
      <c r="B284" s="192"/>
    </row>
    <row r="285" ht="15.75" customHeight="1">
      <c r="B285" s="192"/>
    </row>
    <row r="286" ht="15.75" customHeight="1">
      <c r="B286" s="192"/>
    </row>
    <row r="287" ht="15.75" customHeight="1">
      <c r="B287" s="192"/>
    </row>
    <row r="288" ht="15.75" customHeight="1">
      <c r="B288" s="192"/>
    </row>
    <row r="289" ht="15.75" customHeight="1">
      <c r="B289" s="192"/>
    </row>
    <row r="290" ht="15.75" customHeight="1">
      <c r="B290" s="192"/>
    </row>
    <row r="291" ht="15.75" customHeight="1">
      <c r="B291" s="192"/>
    </row>
    <row r="292" ht="15.75" customHeight="1">
      <c r="B292" s="192"/>
    </row>
    <row r="293" ht="15.75" customHeight="1">
      <c r="B293" s="192"/>
    </row>
    <row r="294" ht="15.75" customHeight="1">
      <c r="B294" s="192"/>
    </row>
    <row r="295" ht="15.75" customHeight="1">
      <c r="B295" s="192"/>
    </row>
    <row r="296" ht="15.75" customHeight="1">
      <c r="B296" s="192"/>
    </row>
    <row r="297" ht="15.75" customHeight="1">
      <c r="B297" s="192"/>
    </row>
    <row r="298" ht="15.75" customHeight="1">
      <c r="B298" s="192"/>
    </row>
    <row r="299" ht="15.75" customHeight="1">
      <c r="B299" s="192"/>
    </row>
    <row r="300" ht="15.75" customHeight="1">
      <c r="B300" s="192"/>
    </row>
    <row r="301" ht="15.75" customHeight="1">
      <c r="B301" s="192"/>
    </row>
    <row r="302" ht="15.75" customHeight="1">
      <c r="B302" s="192"/>
    </row>
    <row r="303" ht="15.75" customHeight="1">
      <c r="B303" s="192"/>
    </row>
    <row r="304" ht="15.75" customHeight="1">
      <c r="B304" s="192"/>
    </row>
    <row r="305" ht="15.75" customHeight="1">
      <c r="B305" s="192"/>
    </row>
    <row r="306" ht="15.75" customHeight="1">
      <c r="B306" s="192"/>
    </row>
    <row r="307" ht="15.75" customHeight="1">
      <c r="B307" s="192"/>
    </row>
    <row r="308" ht="15.75" customHeight="1">
      <c r="B308" s="192"/>
    </row>
    <row r="309" ht="15.75" customHeight="1">
      <c r="B309" s="192"/>
    </row>
    <row r="310" ht="15.75" customHeight="1">
      <c r="B310" s="192"/>
    </row>
    <row r="311" ht="15.75" customHeight="1">
      <c r="B311" s="192"/>
    </row>
    <row r="312" ht="15.75" customHeight="1">
      <c r="B312" s="192"/>
    </row>
    <row r="313" ht="15.75" customHeight="1">
      <c r="B313" s="192"/>
    </row>
    <row r="314" ht="15.75" customHeight="1">
      <c r="B314" s="192"/>
    </row>
    <row r="315" ht="15.75" customHeight="1">
      <c r="B315" s="192"/>
    </row>
    <row r="316" ht="15.75" customHeight="1">
      <c r="B316" s="192"/>
    </row>
    <row r="317" ht="15.75" customHeight="1">
      <c r="B317" s="192"/>
    </row>
    <row r="318" ht="15.75" customHeight="1">
      <c r="B318" s="192"/>
    </row>
    <row r="319" ht="15.75" customHeight="1">
      <c r="B319" s="192"/>
    </row>
    <row r="320" ht="15.75" customHeight="1">
      <c r="B320" s="192"/>
    </row>
    <row r="321" ht="15.75" customHeight="1">
      <c r="B321" s="192"/>
    </row>
    <row r="322" ht="15.75" customHeight="1">
      <c r="B322" s="192"/>
    </row>
    <row r="323" ht="15.75" customHeight="1">
      <c r="B323" s="192"/>
    </row>
    <row r="324" ht="15.75" customHeight="1">
      <c r="B324" s="192"/>
    </row>
    <row r="325" ht="15.75" customHeight="1">
      <c r="B325" s="192"/>
    </row>
    <row r="326" ht="15.75" customHeight="1">
      <c r="B326" s="192"/>
    </row>
    <row r="327" ht="15.75" customHeight="1">
      <c r="B327" s="192"/>
    </row>
    <row r="328" ht="15.75" customHeight="1">
      <c r="B328" s="192"/>
    </row>
    <row r="329" ht="15.75" customHeight="1">
      <c r="B329" s="192"/>
    </row>
    <row r="330" ht="15.75" customHeight="1">
      <c r="B330" s="192"/>
    </row>
    <row r="331" ht="15.75" customHeight="1">
      <c r="B331" s="192"/>
    </row>
    <row r="332" ht="15.75" customHeight="1">
      <c r="B332" s="192"/>
    </row>
    <row r="333" ht="15.75" customHeight="1">
      <c r="B333" s="192"/>
    </row>
    <row r="334" ht="15.75" customHeight="1">
      <c r="B334" s="192"/>
    </row>
    <row r="335" ht="15.75" customHeight="1">
      <c r="B335" s="192"/>
    </row>
    <row r="336" ht="15.75" customHeight="1">
      <c r="B336" s="192"/>
    </row>
    <row r="337" ht="15.75" customHeight="1">
      <c r="B337" s="192"/>
    </row>
    <row r="338" ht="15.75" customHeight="1">
      <c r="B338" s="192"/>
    </row>
    <row r="339" ht="15.75" customHeight="1">
      <c r="B339" s="192"/>
    </row>
    <row r="340" ht="15.75" customHeight="1">
      <c r="B340" s="192"/>
    </row>
    <row r="341" ht="15.75" customHeight="1">
      <c r="B341" s="192"/>
    </row>
    <row r="342" ht="15.75" customHeight="1">
      <c r="B342" s="192"/>
    </row>
    <row r="343" ht="15.75" customHeight="1">
      <c r="B343" s="192"/>
    </row>
    <row r="344" ht="15.75" customHeight="1">
      <c r="B344" s="192"/>
    </row>
    <row r="345" ht="15.75" customHeight="1">
      <c r="B345" s="192"/>
    </row>
    <row r="346" ht="15.75" customHeight="1">
      <c r="B346" s="192"/>
    </row>
    <row r="347" ht="15.75" customHeight="1">
      <c r="B347" s="192"/>
    </row>
    <row r="348" ht="15.75" customHeight="1">
      <c r="B348" s="192"/>
    </row>
    <row r="349" ht="15.75" customHeight="1">
      <c r="B349" s="192"/>
    </row>
    <row r="350" ht="15.75" customHeight="1">
      <c r="B350" s="192"/>
    </row>
    <row r="351" ht="15.75" customHeight="1">
      <c r="B351" s="192"/>
    </row>
    <row r="352" ht="15.75" customHeight="1">
      <c r="B352" s="192"/>
    </row>
    <row r="353" ht="15.75" customHeight="1">
      <c r="B353" s="192"/>
    </row>
    <row r="354" ht="15.75" customHeight="1">
      <c r="B354" s="192"/>
    </row>
    <row r="355" ht="15.75" customHeight="1">
      <c r="B355" s="192"/>
    </row>
    <row r="356" ht="15.75" customHeight="1">
      <c r="B356" s="192"/>
    </row>
    <row r="357" ht="15.75" customHeight="1">
      <c r="B357" s="192"/>
    </row>
    <row r="358" ht="15.75" customHeight="1">
      <c r="B358" s="192"/>
    </row>
    <row r="359" ht="15.75" customHeight="1">
      <c r="B359" s="192"/>
    </row>
    <row r="360" ht="15.75" customHeight="1">
      <c r="B360" s="192"/>
    </row>
    <row r="361" ht="15.75" customHeight="1">
      <c r="B361" s="192"/>
    </row>
    <row r="362" ht="15.75" customHeight="1">
      <c r="B362" s="192"/>
    </row>
    <row r="363" ht="15.75" customHeight="1">
      <c r="B363" s="192"/>
    </row>
    <row r="364" ht="15.75" customHeight="1">
      <c r="B364" s="192"/>
    </row>
    <row r="365" ht="15.75" customHeight="1">
      <c r="B365" s="192"/>
    </row>
    <row r="366" ht="15.75" customHeight="1">
      <c r="B366" s="192"/>
    </row>
    <row r="367" ht="15.75" customHeight="1">
      <c r="B367" s="192"/>
    </row>
    <row r="368" ht="15.75" customHeight="1">
      <c r="B368" s="192"/>
    </row>
    <row r="369" ht="15.75" customHeight="1">
      <c r="B369" s="192"/>
    </row>
    <row r="370" ht="15.75" customHeight="1">
      <c r="B370" s="192"/>
    </row>
    <row r="371" ht="15.75" customHeight="1">
      <c r="B371" s="192"/>
    </row>
    <row r="372" ht="15.75" customHeight="1">
      <c r="B372" s="192"/>
    </row>
    <row r="373" ht="15.75" customHeight="1">
      <c r="B373" s="192"/>
    </row>
    <row r="374" ht="15.75" customHeight="1">
      <c r="B374" s="192"/>
    </row>
    <row r="375" ht="15.75" customHeight="1">
      <c r="B375" s="192"/>
    </row>
    <row r="376" ht="15.75" customHeight="1">
      <c r="B376" s="192"/>
    </row>
    <row r="377" ht="15.75" customHeight="1">
      <c r="B377" s="192"/>
    </row>
    <row r="378" ht="15.75" customHeight="1">
      <c r="B378" s="192"/>
    </row>
    <row r="379" ht="15.75" customHeight="1">
      <c r="B379" s="192"/>
    </row>
    <row r="380" ht="15.75" customHeight="1">
      <c r="B380" s="192"/>
    </row>
    <row r="381" ht="15.75" customHeight="1">
      <c r="B381" s="192"/>
    </row>
    <row r="382" ht="15.75" customHeight="1">
      <c r="B382" s="192"/>
    </row>
    <row r="383" ht="15.75" customHeight="1">
      <c r="B383" s="192"/>
    </row>
    <row r="384" ht="15.75" customHeight="1">
      <c r="B384" s="192"/>
    </row>
    <row r="385" ht="15.75" customHeight="1">
      <c r="B385" s="192"/>
    </row>
    <row r="386" ht="15.75" customHeight="1">
      <c r="B386" s="192"/>
    </row>
    <row r="387" ht="15.75" customHeight="1">
      <c r="B387" s="192"/>
    </row>
    <row r="388" ht="15.75" customHeight="1">
      <c r="B388" s="192"/>
    </row>
    <row r="389" ht="15.75" customHeight="1">
      <c r="B389" s="192"/>
    </row>
    <row r="390" ht="15.75" customHeight="1">
      <c r="B390" s="192"/>
    </row>
    <row r="391" ht="15.75" customHeight="1">
      <c r="B391" s="192"/>
    </row>
    <row r="392" ht="15.75" customHeight="1">
      <c r="B392" s="192"/>
    </row>
    <row r="393" ht="15.75" customHeight="1">
      <c r="B393" s="192"/>
    </row>
    <row r="394" ht="15.75" customHeight="1">
      <c r="B394" s="192"/>
    </row>
    <row r="395" ht="15.75" customHeight="1">
      <c r="B395" s="192"/>
    </row>
    <row r="396" ht="15.75" customHeight="1">
      <c r="B396" s="192"/>
    </row>
    <row r="397" ht="15.75" customHeight="1">
      <c r="B397" s="192"/>
    </row>
    <row r="398" ht="15.75" customHeight="1">
      <c r="B398" s="192"/>
    </row>
    <row r="399" ht="15.75" customHeight="1">
      <c r="B399" s="192"/>
    </row>
    <row r="400" ht="15.75" customHeight="1">
      <c r="B400" s="192"/>
    </row>
    <row r="401" ht="15.75" customHeight="1">
      <c r="B401" s="192"/>
    </row>
    <row r="402" ht="15.75" customHeight="1">
      <c r="B402" s="192"/>
    </row>
    <row r="403" ht="15.75" customHeight="1">
      <c r="B403" s="192"/>
    </row>
    <row r="404" ht="15.75" customHeight="1">
      <c r="B404" s="192"/>
    </row>
    <row r="405" ht="15.75" customHeight="1">
      <c r="B405" s="192"/>
    </row>
    <row r="406" ht="15.75" customHeight="1">
      <c r="B406" s="192"/>
    </row>
    <row r="407" ht="15.75" customHeight="1">
      <c r="B407" s="192"/>
    </row>
    <row r="408" ht="15.75" customHeight="1">
      <c r="B408" s="192"/>
    </row>
    <row r="409" ht="15.75" customHeight="1">
      <c r="B409" s="192"/>
    </row>
    <row r="410" ht="15.75" customHeight="1">
      <c r="B410" s="192"/>
    </row>
    <row r="411" ht="15.75" customHeight="1">
      <c r="B411" s="192"/>
    </row>
    <row r="412" ht="15.75" customHeight="1">
      <c r="B412" s="192"/>
    </row>
    <row r="413" ht="15.75" customHeight="1">
      <c r="B413" s="192"/>
    </row>
    <row r="414" ht="15.75" customHeight="1">
      <c r="B414" s="192"/>
    </row>
    <row r="415" ht="15.75" customHeight="1">
      <c r="B415" s="192"/>
    </row>
    <row r="416" ht="15.75" customHeight="1">
      <c r="B416" s="192"/>
    </row>
    <row r="417" ht="15.75" customHeight="1">
      <c r="B417" s="192"/>
    </row>
    <row r="418" ht="15.75" customHeight="1">
      <c r="B418" s="192"/>
    </row>
    <row r="419" ht="15.75" customHeight="1">
      <c r="B419" s="192"/>
    </row>
    <row r="420" ht="15.75" customHeight="1">
      <c r="B420" s="192"/>
    </row>
    <row r="421" ht="15.75" customHeight="1">
      <c r="B421" s="192"/>
    </row>
    <row r="422" ht="15.75" customHeight="1">
      <c r="B422" s="192"/>
    </row>
    <row r="423" ht="15.75" customHeight="1">
      <c r="B423" s="192"/>
    </row>
    <row r="424" ht="15.75" customHeight="1">
      <c r="B424" s="192"/>
    </row>
    <row r="425" ht="15.75" customHeight="1">
      <c r="B425" s="192"/>
    </row>
    <row r="426" ht="15.75" customHeight="1">
      <c r="B426" s="192"/>
    </row>
    <row r="427" ht="15.75" customHeight="1">
      <c r="B427" s="192"/>
    </row>
    <row r="428" ht="15.75" customHeight="1">
      <c r="B428" s="192"/>
    </row>
    <row r="429" ht="15.75" customHeight="1">
      <c r="B429" s="192"/>
    </row>
    <row r="430" ht="15.75" customHeight="1">
      <c r="B430" s="192"/>
    </row>
    <row r="431" ht="15.75" customHeight="1">
      <c r="B431" s="192"/>
    </row>
    <row r="432" ht="15.75" customHeight="1">
      <c r="B432" s="192"/>
    </row>
    <row r="433" ht="15.75" customHeight="1">
      <c r="B433" s="192"/>
    </row>
    <row r="434" ht="15.75" customHeight="1">
      <c r="B434" s="192"/>
    </row>
    <row r="435" ht="15.75" customHeight="1">
      <c r="B435" s="192"/>
    </row>
    <row r="436" ht="15.75" customHeight="1">
      <c r="B436" s="192"/>
    </row>
    <row r="437" ht="15.75" customHeight="1">
      <c r="B437" s="192"/>
    </row>
    <row r="438" ht="15.75" customHeight="1">
      <c r="B438" s="192"/>
    </row>
    <row r="439" ht="15.75" customHeight="1">
      <c r="B439" s="192"/>
    </row>
    <row r="440" ht="15.75" customHeight="1">
      <c r="B440" s="192"/>
    </row>
    <row r="441" ht="15.75" customHeight="1">
      <c r="B441" s="192"/>
    </row>
    <row r="442" ht="15.75" customHeight="1">
      <c r="B442" s="192"/>
    </row>
    <row r="443" ht="15.75" customHeight="1">
      <c r="B443" s="192"/>
    </row>
    <row r="444" ht="15.75" customHeight="1">
      <c r="B444" s="192"/>
    </row>
    <row r="445" ht="15.75" customHeight="1">
      <c r="B445" s="192"/>
    </row>
    <row r="446" ht="15.75" customHeight="1">
      <c r="B446" s="192"/>
    </row>
    <row r="447" ht="15.75" customHeight="1">
      <c r="B447" s="192"/>
    </row>
    <row r="448" ht="15.75" customHeight="1">
      <c r="B448" s="192"/>
    </row>
    <row r="449" ht="15.75" customHeight="1">
      <c r="B449" s="192"/>
    </row>
    <row r="450" ht="15.75" customHeight="1">
      <c r="B450" s="192"/>
    </row>
    <row r="451" ht="15.75" customHeight="1">
      <c r="B451" s="192"/>
    </row>
    <row r="452" ht="15.75" customHeight="1">
      <c r="B452" s="192"/>
    </row>
    <row r="453" ht="15.75" customHeight="1">
      <c r="B453" s="192"/>
    </row>
    <row r="454" ht="15.75" customHeight="1">
      <c r="B454" s="192"/>
    </row>
    <row r="455" ht="15.75" customHeight="1">
      <c r="B455" s="192"/>
    </row>
    <row r="456" ht="15.75" customHeight="1">
      <c r="B456" s="192"/>
    </row>
    <row r="457" ht="15.75" customHeight="1">
      <c r="B457" s="192"/>
    </row>
    <row r="458" ht="15.75" customHeight="1">
      <c r="B458" s="192"/>
    </row>
    <row r="459" ht="15.75" customHeight="1">
      <c r="B459" s="192"/>
    </row>
    <row r="460" ht="15.75" customHeight="1">
      <c r="B460" s="192"/>
    </row>
    <row r="461" ht="15.75" customHeight="1">
      <c r="B461" s="192"/>
    </row>
    <row r="462" ht="15.75" customHeight="1">
      <c r="B462" s="192"/>
    </row>
    <row r="463" ht="15.75" customHeight="1">
      <c r="B463" s="192"/>
    </row>
    <row r="464" ht="15.75" customHeight="1">
      <c r="B464" s="192"/>
    </row>
    <row r="465" ht="15.75" customHeight="1">
      <c r="B465" s="192"/>
    </row>
    <row r="466" ht="15.75" customHeight="1">
      <c r="B466" s="192"/>
    </row>
    <row r="467" ht="15.75" customHeight="1">
      <c r="B467" s="192"/>
    </row>
    <row r="468" ht="15.75" customHeight="1">
      <c r="B468" s="192"/>
    </row>
    <row r="469" ht="15.75" customHeight="1">
      <c r="B469" s="192"/>
    </row>
    <row r="470" ht="15.75" customHeight="1">
      <c r="B470" s="192"/>
    </row>
    <row r="471" ht="15.75" customHeight="1">
      <c r="B471" s="192"/>
    </row>
    <row r="472" ht="15.75" customHeight="1">
      <c r="B472" s="192"/>
    </row>
    <row r="473" ht="15.75" customHeight="1">
      <c r="B473" s="192"/>
    </row>
    <row r="474" ht="15.75" customHeight="1">
      <c r="B474" s="192"/>
    </row>
    <row r="475" ht="15.75" customHeight="1">
      <c r="B475" s="192"/>
    </row>
    <row r="476" ht="15.75" customHeight="1">
      <c r="B476" s="192"/>
    </row>
    <row r="477" ht="15.75" customHeight="1">
      <c r="B477" s="192"/>
    </row>
    <row r="478" ht="15.75" customHeight="1">
      <c r="B478" s="192"/>
    </row>
    <row r="479" ht="15.75" customHeight="1">
      <c r="B479" s="192"/>
    </row>
    <row r="480" ht="15.75" customHeight="1">
      <c r="B480" s="192"/>
    </row>
    <row r="481" ht="15.75" customHeight="1">
      <c r="B481" s="192"/>
    </row>
    <row r="482" ht="15.75" customHeight="1">
      <c r="B482" s="192"/>
    </row>
    <row r="483" ht="15.75" customHeight="1">
      <c r="B483" s="192"/>
    </row>
    <row r="484" ht="15.75" customHeight="1">
      <c r="B484" s="192"/>
    </row>
    <row r="485" ht="15.75" customHeight="1">
      <c r="B485" s="192"/>
    </row>
    <row r="486" ht="15.75" customHeight="1">
      <c r="B486" s="192"/>
    </row>
    <row r="487" ht="15.75" customHeight="1">
      <c r="B487" s="192"/>
    </row>
    <row r="488" ht="15.75" customHeight="1">
      <c r="B488" s="192"/>
    </row>
    <row r="489" ht="15.75" customHeight="1">
      <c r="B489" s="192"/>
    </row>
    <row r="490" ht="15.75" customHeight="1">
      <c r="B490" s="192"/>
    </row>
    <row r="491" ht="15.75" customHeight="1">
      <c r="B491" s="192"/>
    </row>
    <row r="492" ht="15.75" customHeight="1">
      <c r="B492" s="192"/>
    </row>
    <row r="493" ht="15.75" customHeight="1">
      <c r="B493" s="192"/>
    </row>
    <row r="494" ht="15.75" customHeight="1">
      <c r="B494" s="192"/>
    </row>
    <row r="495" ht="15.75" customHeight="1">
      <c r="B495" s="192"/>
    </row>
    <row r="496" ht="15.75" customHeight="1">
      <c r="B496" s="192"/>
    </row>
    <row r="497" ht="15.75" customHeight="1">
      <c r="B497" s="192"/>
    </row>
    <row r="498" ht="15.75" customHeight="1">
      <c r="B498" s="192"/>
    </row>
    <row r="499" ht="15.75" customHeight="1">
      <c r="B499" s="192"/>
    </row>
    <row r="500" ht="15.75" customHeight="1">
      <c r="B500" s="192"/>
    </row>
    <row r="501" ht="15.75" customHeight="1">
      <c r="B501" s="192"/>
    </row>
    <row r="502" ht="15.75" customHeight="1">
      <c r="B502" s="192"/>
    </row>
    <row r="503" ht="15.75" customHeight="1">
      <c r="B503" s="192"/>
    </row>
    <row r="504" ht="15.75" customHeight="1">
      <c r="B504" s="192"/>
    </row>
    <row r="505" ht="15.75" customHeight="1">
      <c r="B505" s="192"/>
    </row>
    <row r="506" ht="15.75" customHeight="1">
      <c r="B506" s="192"/>
    </row>
    <row r="507" ht="15.75" customHeight="1">
      <c r="B507" s="192"/>
    </row>
    <row r="508" ht="15.75" customHeight="1">
      <c r="B508" s="192"/>
    </row>
    <row r="509" ht="15.75" customHeight="1">
      <c r="B509" s="192"/>
    </row>
    <row r="510" ht="15.75" customHeight="1">
      <c r="B510" s="192"/>
    </row>
    <row r="511" ht="15.75" customHeight="1">
      <c r="B511" s="192"/>
    </row>
    <row r="512" ht="15.75" customHeight="1">
      <c r="B512" s="192"/>
    </row>
    <row r="513" ht="15.75" customHeight="1">
      <c r="B513" s="192"/>
    </row>
    <row r="514" ht="15.75" customHeight="1">
      <c r="B514" s="192"/>
    </row>
    <row r="515" ht="15.75" customHeight="1">
      <c r="B515" s="192"/>
    </row>
    <row r="516" ht="15.75" customHeight="1">
      <c r="B516" s="192"/>
    </row>
    <row r="517" ht="15.75" customHeight="1">
      <c r="B517" s="192"/>
    </row>
    <row r="518" ht="15.75" customHeight="1">
      <c r="B518" s="192"/>
    </row>
    <row r="519" ht="15.75" customHeight="1">
      <c r="B519" s="192"/>
    </row>
    <row r="520" ht="15.75" customHeight="1">
      <c r="B520" s="192"/>
    </row>
    <row r="521" ht="15.75" customHeight="1">
      <c r="B521" s="192"/>
    </row>
    <row r="522" ht="15.75" customHeight="1">
      <c r="B522" s="192"/>
    </row>
    <row r="523" ht="15.75" customHeight="1">
      <c r="B523" s="192"/>
    </row>
    <row r="524" ht="15.75" customHeight="1">
      <c r="B524" s="192"/>
    </row>
    <row r="525" ht="15.75" customHeight="1">
      <c r="B525" s="192"/>
    </row>
    <row r="526" ht="15.75" customHeight="1">
      <c r="B526" s="192"/>
    </row>
    <row r="527" ht="15.75" customHeight="1">
      <c r="B527" s="192"/>
    </row>
    <row r="528" ht="15.75" customHeight="1">
      <c r="B528" s="192"/>
    </row>
    <row r="529" ht="15.75" customHeight="1">
      <c r="B529" s="192"/>
    </row>
    <row r="530" ht="15.75" customHeight="1">
      <c r="B530" s="192"/>
    </row>
    <row r="531" ht="15.75" customHeight="1">
      <c r="B531" s="192"/>
    </row>
    <row r="532" ht="15.75" customHeight="1">
      <c r="B532" s="192"/>
    </row>
    <row r="533" ht="15.75" customHeight="1">
      <c r="B533" s="192"/>
    </row>
    <row r="534" ht="15.75" customHeight="1">
      <c r="B534" s="192"/>
    </row>
    <row r="535" ht="15.75" customHeight="1">
      <c r="B535" s="192"/>
    </row>
    <row r="536" ht="15.75" customHeight="1">
      <c r="B536" s="192"/>
    </row>
    <row r="537" ht="15.75" customHeight="1">
      <c r="B537" s="192"/>
    </row>
    <row r="538" ht="15.75" customHeight="1">
      <c r="B538" s="192"/>
    </row>
    <row r="539" ht="15.75" customHeight="1">
      <c r="B539" s="192"/>
    </row>
    <row r="540" ht="15.75" customHeight="1">
      <c r="B540" s="192"/>
    </row>
    <row r="541" ht="15.75" customHeight="1">
      <c r="B541" s="192"/>
    </row>
    <row r="542" ht="15.75" customHeight="1">
      <c r="B542" s="192"/>
    </row>
    <row r="543" ht="15.75" customHeight="1">
      <c r="B543" s="192"/>
    </row>
    <row r="544" ht="15.75" customHeight="1">
      <c r="B544" s="192"/>
    </row>
    <row r="545" ht="15.75" customHeight="1">
      <c r="B545" s="192"/>
    </row>
    <row r="546" ht="15.75" customHeight="1">
      <c r="B546" s="192"/>
    </row>
    <row r="547" ht="15.75" customHeight="1">
      <c r="B547" s="192"/>
    </row>
    <row r="548" ht="15.75" customHeight="1">
      <c r="B548" s="192"/>
    </row>
    <row r="549" ht="15.75" customHeight="1">
      <c r="B549" s="192"/>
    </row>
    <row r="550" ht="15.75" customHeight="1">
      <c r="B550" s="192"/>
    </row>
    <row r="551" ht="15.75" customHeight="1">
      <c r="B551" s="192"/>
    </row>
    <row r="552" ht="15.75" customHeight="1">
      <c r="B552" s="192"/>
    </row>
    <row r="553" ht="15.75" customHeight="1">
      <c r="B553" s="192"/>
    </row>
    <row r="554" ht="15.75" customHeight="1">
      <c r="B554" s="192"/>
    </row>
    <row r="555" ht="15.75" customHeight="1">
      <c r="B555" s="192"/>
    </row>
    <row r="556" ht="15.75" customHeight="1">
      <c r="B556" s="192"/>
    </row>
    <row r="557" ht="15.75" customHeight="1">
      <c r="B557" s="192"/>
    </row>
    <row r="558" ht="15.75" customHeight="1">
      <c r="B558" s="192"/>
    </row>
    <row r="559" ht="15.75" customHeight="1">
      <c r="B559" s="192"/>
    </row>
    <row r="560" ht="15.75" customHeight="1">
      <c r="B560" s="192"/>
    </row>
    <row r="561" ht="15.75" customHeight="1">
      <c r="B561" s="192"/>
    </row>
    <row r="562" ht="15.75" customHeight="1">
      <c r="B562" s="192"/>
    </row>
    <row r="563" ht="15.75" customHeight="1">
      <c r="B563" s="192"/>
    </row>
    <row r="564" ht="15.75" customHeight="1">
      <c r="B564" s="192"/>
    </row>
    <row r="565" ht="15.75" customHeight="1">
      <c r="B565" s="192"/>
    </row>
    <row r="566" ht="15.75" customHeight="1">
      <c r="B566" s="192"/>
    </row>
    <row r="567" ht="15.75" customHeight="1">
      <c r="B567" s="192"/>
    </row>
    <row r="568" ht="15.75" customHeight="1">
      <c r="B568" s="192"/>
    </row>
    <row r="569" ht="15.75" customHeight="1">
      <c r="B569" s="192"/>
    </row>
    <row r="570" ht="15.75" customHeight="1">
      <c r="B570" s="192"/>
    </row>
    <row r="571" ht="15.75" customHeight="1">
      <c r="B571" s="192"/>
    </row>
    <row r="572" ht="15.75" customHeight="1">
      <c r="B572" s="192"/>
    </row>
    <row r="573" ht="15.75" customHeight="1">
      <c r="B573" s="192"/>
    </row>
    <row r="574" ht="15.75" customHeight="1">
      <c r="B574" s="192"/>
    </row>
    <row r="575" ht="15.75" customHeight="1">
      <c r="B575" s="192"/>
    </row>
    <row r="576" ht="15.75" customHeight="1">
      <c r="B576" s="192"/>
    </row>
    <row r="577" ht="15.75" customHeight="1">
      <c r="B577" s="192"/>
    </row>
    <row r="578" ht="15.75" customHeight="1">
      <c r="B578" s="192"/>
    </row>
    <row r="579" ht="15.75" customHeight="1">
      <c r="B579" s="192"/>
    </row>
    <row r="580" ht="15.75" customHeight="1">
      <c r="B580" s="192"/>
    </row>
    <row r="581" ht="15.75" customHeight="1">
      <c r="B581" s="192"/>
    </row>
    <row r="582" ht="15.75" customHeight="1">
      <c r="B582" s="192"/>
    </row>
    <row r="583" ht="15.75" customHeight="1">
      <c r="B583" s="192"/>
    </row>
    <row r="584" ht="15.75" customHeight="1">
      <c r="B584" s="192"/>
    </row>
    <row r="585" ht="15.75" customHeight="1">
      <c r="B585" s="192"/>
    </row>
    <row r="586" ht="15.75" customHeight="1">
      <c r="B586" s="192"/>
    </row>
    <row r="587" ht="15.75" customHeight="1">
      <c r="B587" s="192"/>
    </row>
    <row r="588" ht="15.75" customHeight="1">
      <c r="B588" s="192"/>
    </row>
    <row r="589" ht="15.75" customHeight="1">
      <c r="B589" s="192"/>
    </row>
    <row r="590" ht="15.75" customHeight="1">
      <c r="B590" s="192"/>
    </row>
    <row r="591" ht="15.75" customHeight="1">
      <c r="B591" s="192"/>
    </row>
    <row r="592" ht="15.75" customHeight="1">
      <c r="B592" s="192"/>
    </row>
    <row r="593" ht="15.75" customHeight="1">
      <c r="B593" s="192"/>
    </row>
    <row r="594" ht="15.75" customHeight="1">
      <c r="B594" s="192"/>
    </row>
    <row r="595" ht="15.75" customHeight="1">
      <c r="B595" s="192"/>
    </row>
    <row r="596" ht="15.75" customHeight="1">
      <c r="B596" s="192"/>
    </row>
    <row r="597" ht="15.75" customHeight="1">
      <c r="B597" s="192"/>
    </row>
    <row r="598" ht="15.75" customHeight="1">
      <c r="B598" s="192"/>
    </row>
    <row r="599" ht="15.75" customHeight="1">
      <c r="B599" s="192"/>
    </row>
    <row r="600" ht="15.75" customHeight="1">
      <c r="B600" s="192"/>
    </row>
    <row r="601" ht="15.75" customHeight="1">
      <c r="B601" s="192"/>
    </row>
    <row r="602" ht="15.75" customHeight="1">
      <c r="B602" s="192"/>
    </row>
    <row r="603" ht="15.75" customHeight="1">
      <c r="B603" s="192"/>
    </row>
    <row r="604" ht="15.75" customHeight="1">
      <c r="B604" s="192"/>
    </row>
    <row r="605" ht="15.75" customHeight="1">
      <c r="B605" s="192"/>
    </row>
    <row r="606" ht="15.75" customHeight="1">
      <c r="B606" s="192"/>
    </row>
    <row r="607" ht="15.75" customHeight="1">
      <c r="B607" s="192"/>
    </row>
    <row r="608" ht="15.75" customHeight="1">
      <c r="B608" s="192"/>
    </row>
    <row r="609" ht="15.75" customHeight="1">
      <c r="B609" s="192"/>
    </row>
    <row r="610" ht="15.75" customHeight="1">
      <c r="B610" s="192"/>
    </row>
    <row r="611" ht="15.75" customHeight="1">
      <c r="B611" s="192"/>
    </row>
    <row r="612" ht="15.75" customHeight="1">
      <c r="B612" s="192"/>
    </row>
    <row r="613" ht="15.75" customHeight="1">
      <c r="B613" s="192"/>
    </row>
    <row r="614" ht="15.75" customHeight="1">
      <c r="B614" s="192"/>
    </row>
    <row r="615" ht="15.75" customHeight="1">
      <c r="B615" s="192"/>
    </row>
    <row r="616" ht="15.75" customHeight="1">
      <c r="B616" s="192"/>
    </row>
    <row r="617" ht="15.75" customHeight="1">
      <c r="B617" s="192"/>
    </row>
    <row r="618" ht="15.75" customHeight="1">
      <c r="B618" s="192"/>
    </row>
    <row r="619" ht="15.75" customHeight="1">
      <c r="B619" s="192"/>
    </row>
    <row r="620" ht="15.75" customHeight="1">
      <c r="B620" s="192"/>
    </row>
    <row r="621" ht="15.75" customHeight="1">
      <c r="B621" s="192"/>
    </row>
    <row r="622" ht="15.75" customHeight="1">
      <c r="B622" s="192"/>
    </row>
    <row r="623" ht="15.75" customHeight="1">
      <c r="B623" s="192"/>
    </row>
    <row r="624" ht="15.75" customHeight="1">
      <c r="B624" s="192"/>
    </row>
    <row r="625" ht="15.75" customHeight="1">
      <c r="B625" s="192"/>
    </row>
    <row r="626" ht="15.75" customHeight="1">
      <c r="B626" s="192"/>
    </row>
    <row r="627" ht="15.75" customHeight="1">
      <c r="B627" s="192"/>
    </row>
    <row r="628" ht="15.75" customHeight="1">
      <c r="B628" s="192"/>
    </row>
    <row r="629" ht="15.75" customHeight="1">
      <c r="B629" s="192"/>
    </row>
    <row r="630" ht="15.75" customHeight="1">
      <c r="B630" s="192"/>
    </row>
    <row r="631" ht="15.75" customHeight="1">
      <c r="B631" s="192"/>
    </row>
    <row r="632" ht="15.75" customHeight="1">
      <c r="B632" s="192"/>
    </row>
    <row r="633" ht="15.75" customHeight="1">
      <c r="B633" s="192"/>
    </row>
    <row r="634" ht="15.75" customHeight="1">
      <c r="B634" s="192"/>
    </row>
    <row r="635" ht="15.75" customHeight="1">
      <c r="B635" s="192"/>
    </row>
    <row r="636" ht="15.75" customHeight="1">
      <c r="B636" s="192"/>
    </row>
    <row r="637" ht="15.75" customHeight="1">
      <c r="B637" s="192"/>
    </row>
    <row r="638" ht="15.75" customHeight="1">
      <c r="B638" s="192"/>
    </row>
    <row r="639" ht="15.75" customHeight="1">
      <c r="B639" s="192"/>
    </row>
    <row r="640" ht="15.75" customHeight="1">
      <c r="B640" s="192"/>
    </row>
    <row r="641" ht="15.75" customHeight="1">
      <c r="B641" s="192"/>
    </row>
    <row r="642" ht="15.75" customHeight="1">
      <c r="B642" s="192"/>
    </row>
    <row r="643" ht="15.75" customHeight="1">
      <c r="B643" s="192"/>
    </row>
    <row r="644" ht="15.75" customHeight="1">
      <c r="B644" s="192"/>
    </row>
    <row r="645" ht="15.75" customHeight="1">
      <c r="B645" s="192"/>
    </row>
    <row r="646" ht="15.75" customHeight="1">
      <c r="B646" s="192"/>
    </row>
    <row r="647" ht="15.75" customHeight="1">
      <c r="B647" s="192"/>
    </row>
    <row r="648" ht="15.75" customHeight="1">
      <c r="B648" s="192"/>
    </row>
    <row r="649" ht="15.75" customHeight="1">
      <c r="B649" s="192"/>
    </row>
    <row r="650" ht="15.75" customHeight="1">
      <c r="B650" s="192"/>
    </row>
    <row r="651" ht="15.75" customHeight="1">
      <c r="B651" s="192"/>
    </row>
    <row r="652" ht="15.75" customHeight="1">
      <c r="B652" s="192"/>
    </row>
    <row r="653" ht="15.75" customHeight="1">
      <c r="B653" s="192"/>
    </row>
    <row r="654" ht="15.75" customHeight="1">
      <c r="B654" s="192"/>
    </row>
    <row r="655" ht="15.75" customHeight="1">
      <c r="B655" s="192"/>
    </row>
    <row r="656" ht="15.75" customHeight="1">
      <c r="B656" s="192"/>
    </row>
    <row r="657" ht="15.75" customHeight="1">
      <c r="B657" s="192"/>
    </row>
    <row r="658" ht="15.75" customHeight="1">
      <c r="B658" s="192"/>
    </row>
    <row r="659" ht="15.75" customHeight="1">
      <c r="B659" s="192"/>
    </row>
    <row r="660" ht="15.75" customHeight="1">
      <c r="B660" s="192"/>
    </row>
    <row r="661" ht="15.75" customHeight="1">
      <c r="B661" s="192"/>
    </row>
    <row r="662" ht="15.75" customHeight="1">
      <c r="B662" s="192"/>
    </row>
    <row r="663" ht="15.75" customHeight="1">
      <c r="B663" s="192"/>
    </row>
    <row r="664" ht="15.75" customHeight="1">
      <c r="B664" s="192"/>
    </row>
    <row r="665" ht="15.75" customHeight="1">
      <c r="B665" s="192"/>
    </row>
    <row r="666" ht="15.75" customHeight="1">
      <c r="B666" s="192"/>
    </row>
    <row r="667" ht="15.75" customHeight="1">
      <c r="B667" s="192"/>
    </row>
    <row r="668" ht="15.75" customHeight="1">
      <c r="B668" s="192"/>
    </row>
    <row r="669" ht="15.75" customHeight="1">
      <c r="B669" s="192"/>
    </row>
    <row r="670" ht="15.75" customHeight="1">
      <c r="B670" s="192"/>
    </row>
    <row r="671" ht="15.75" customHeight="1">
      <c r="B671" s="192"/>
    </row>
    <row r="672" ht="15.75" customHeight="1">
      <c r="B672" s="192"/>
    </row>
    <row r="673" ht="15.75" customHeight="1">
      <c r="B673" s="192"/>
    </row>
    <row r="674" ht="15.75" customHeight="1">
      <c r="B674" s="192"/>
    </row>
    <row r="675" ht="15.75" customHeight="1">
      <c r="B675" s="192"/>
    </row>
    <row r="676" ht="15.75" customHeight="1">
      <c r="B676" s="192"/>
    </row>
    <row r="677" ht="15.75" customHeight="1">
      <c r="B677" s="192"/>
    </row>
    <row r="678" ht="15.75" customHeight="1">
      <c r="B678" s="192"/>
    </row>
    <row r="679" ht="15.75" customHeight="1">
      <c r="B679" s="192"/>
    </row>
    <row r="680" ht="15.75" customHeight="1">
      <c r="B680" s="192"/>
    </row>
    <row r="681" ht="15.75" customHeight="1">
      <c r="B681" s="192"/>
    </row>
    <row r="682" ht="15.75" customHeight="1">
      <c r="B682" s="192"/>
    </row>
    <row r="683" ht="15.75" customHeight="1">
      <c r="B683" s="192"/>
    </row>
    <row r="684" ht="15.75" customHeight="1">
      <c r="B684" s="192"/>
    </row>
    <row r="685" ht="15.75" customHeight="1">
      <c r="B685" s="192"/>
    </row>
    <row r="686" ht="15.75" customHeight="1">
      <c r="B686" s="192"/>
    </row>
    <row r="687" ht="15.75" customHeight="1">
      <c r="B687" s="192"/>
    </row>
    <row r="688" ht="15.75" customHeight="1">
      <c r="B688" s="192"/>
    </row>
    <row r="689" ht="15.75" customHeight="1">
      <c r="B689" s="192"/>
    </row>
    <row r="690" ht="15.75" customHeight="1">
      <c r="B690" s="192"/>
    </row>
    <row r="691" ht="15.75" customHeight="1">
      <c r="B691" s="192"/>
    </row>
    <row r="692" ht="15.75" customHeight="1">
      <c r="B692" s="192"/>
    </row>
    <row r="693" ht="15.75" customHeight="1">
      <c r="B693" s="192"/>
    </row>
    <row r="694" ht="15.75" customHeight="1">
      <c r="B694" s="192"/>
    </row>
    <row r="695" ht="15.75" customHeight="1">
      <c r="B695" s="192"/>
    </row>
    <row r="696" ht="15.75" customHeight="1">
      <c r="B696" s="192"/>
    </row>
    <row r="697" ht="15.75" customHeight="1">
      <c r="B697" s="192"/>
    </row>
    <row r="698" ht="15.75" customHeight="1">
      <c r="B698" s="192"/>
    </row>
    <row r="699" ht="15.75" customHeight="1">
      <c r="B699" s="192"/>
    </row>
    <row r="700" ht="15.75" customHeight="1">
      <c r="B700" s="192"/>
    </row>
    <row r="701" ht="15.75" customHeight="1">
      <c r="B701" s="192"/>
    </row>
    <row r="702" ht="15.75" customHeight="1">
      <c r="B702" s="192"/>
    </row>
    <row r="703" ht="15.75" customHeight="1">
      <c r="B703" s="192"/>
    </row>
    <row r="704" ht="15.75" customHeight="1">
      <c r="B704" s="192"/>
    </row>
    <row r="705" ht="15.75" customHeight="1">
      <c r="B705" s="192"/>
    </row>
    <row r="706" ht="15.75" customHeight="1">
      <c r="B706" s="192"/>
    </row>
    <row r="707" ht="15.75" customHeight="1">
      <c r="B707" s="192"/>
    </row>
    <row r="708" ht="15.75" customHeight="1">
      <c r="B708" s="192"/>
    </row>
    <row r="709" ht="15.75" customHeight="1">
      <c r="B709" s="192"/>
    </row>
    <row r="710" ht="15.75" customHeight="1">
      <c r="B710" s="192"/>
    </row>
    <row r="711" ht="15.75" customHeight="1">
      <c r="B711" s="192"/>
    </row>
    <row r="712" ht="15.75" customHeight="1">
      <c r="B712" s="192"/>
    </row>
    <row r="713" ht="15.75" customHeight="1">
      <c r="B713" s="192"/>
    </row>
    <row r="714" ht="15.75" customHeight="1">
      <c r="B714" s="192"/>
    </row>
    <row r="715" ht="15.75" customHeight="1">
      <c r="B715" s="192"/>
    </row>
    <row r="716" ht="15.75" customHeight="1">
      <c r="B716" s="192"/>
    </row>
    <row r="717" ht="15.75" customHeight="1">
      <c r="B717" s="192"/>
    </row>
    <row r="718" ht="15.75" customHeight="1">
      <c r="B718" s="192"/>
    </row>
    <row r="719" ht="15.75" customHeight="1">
      <c r="B719" s="192"/>
    </row>
    <row r="720" ht="15.75" customHeight="1">
      <c r="B720" s="192"/>
    </row>
    <row r="721" ht="15.75" customHeight="1">
      <c r="B721" s="192"/>
    </row>
    <row r="722" ht="15.75" customHeight="1">
      <c r="B722" s="192"/>
    </row>
    <row r="723" ht="15.75" customHeight="1">
      <c r="B723" s="192"/>
    </row>
    <row r="724" ht="15.75" customHeight="1">
      <c r="B724" s="192"/>
    </row>
    <row r="725" ht="15.75" customHeight="1">
      <c r="B725" s="192"/>
    </row>
    <row r="726" ht="15.75" customHeight="1">
      <c r="B726" s="192"/>
    </row>
    <row r="727" ht="15.75" customHeight="1">
      <c r="B727" s="192"/>
    </row>
    <row r="728" ht="15.75" customHeight="1">
      <c r="B728" s="192"/>
    </row>
    <row r="729" ht="15.75" customHeight="1">
      <c r="B729" s="192"/>
    </row>
    <row r="730" ht="15.75" customHeight="1">
      <c r="B730" s="192"/>
    </row>
    <row r="731" ht="15.75" customHeight="1">
      <c r="B731" s="192"/>
    </row>
    <row r="732" ht="15.75" customHeight="1">
      <c r="B732" s="192"/>
    </row>
    <row r="733" ht="15.75" customHeight="1">
      <c r="B733" s="192"/>
    </row>
    <row r="734" ht="15.75" customHeight="1">
      <c r="B734" s="192"/>
    </row>
    <row r="735" ht="15.75" customHeight="1">
      <c r="B735" s="192"/>
    </row>
    <row r="736" ht="15.75" customHeight="1">
      <c r="B736" s="192"/>
    </row>
    <row r="737" ht="15.75" customHeight="1">
      <c r="B737" s="192"/>
    </row>
    <row r="738" ht="15.75" customHeight="1">
      <c r="B738" s="192"/>
    </row>
    <row r="739" ht="15.75" customHeight="1">
      <c r="B739" s="192"/>
    </row>
    <row r="740" ht="15.75" customHeight="1">
      <c r="B740" s="192"/>
    </row>
    <row r="741" ht="15.75" customHeight="1">
      <c r="B741" s="192"/>
    </row>
    <row r="742" ht="15.75" customHeight="1">
      <c r="B742" s="192"/>
    </row>
    <row r="743" ht="15.75" customHeight="1">
      <c r="B743" s="192"/>
    </row>
    <row r="744" ht="15.75" customHeight="1">
      <c r="B744" s="192"/>
    </row>
    <row r="745" ht="15.75" customHeight="1">
      <c r="B745" s="192"/>
    </row>
    <row r="746" ht="15.75" customHeight="1">
      <c r="B746" s="192"/>
    </row>
    <row r="747" ht="15.75" customHeight="1">
      <c r="B747" s="192"/>
    </row>
    <row r="748" ht="15.75" customHeight="1">
      <c r="B748" s="192"/>
    </row>
    <row r="749" ht="15.75" customHeight="1">
      <c r="B749" s="192"/>
    </row>
    <row r="750" ht="15.75" customHeight="1">
      <c r="B750" s="192"/>
    </row>
    <row r="751" ht="15.75" customHeight="1">
      <c r="B751" s="192"/>
    </row>
    <row r="752" ht="15.75" customHeight="1">
      <c r="B752" s="192"/>
    </row>
    <row r="753" ht="15.75" customHeight="1">
      <c r="B753" s="192"/>
    </row>
    <row r="754" ht="15.75" customHeight="1">
      <c r="B754" s="192"/>
    </row>
    <row r="755" ht="15.75" customHeight="1">
      <c r="B755" s="192"/>
    </row>
    <row r="756" ht="15.75" customHeight="1">
      <c r="B756" s="192"/>
    </row>
    <row r="757" ht="15.75" customHeight="1">
      <c r="B757" s="192"/>
    </row>
    <row r="758" ht="15.75" customHeight="1">
      <c r="B758" s="192"/>
    </row>
    <row r="759" ht="15.75" customHeight="1">
      <c r="B759" s="192"/>
    </row>
    <row r="760" ht="15.75" customHeight="1">
      <c r="B760" s="192"/>
    </row>
    <row r="761" ht="15.75" customHeight="1">
      <c r="B761" s="192"/>
    </row>
    <row r="762" ht="15.75" customHeight="1">
      <c r="B762" s="192"/>
    </row>
    <row r="763" ht="15.75" customHeight="1">
      <c r="B763" s="192"/>
    </row>
    <row r="764" ht="15.75" customHeight="1">
      <c r="B764" s="192"/>
    </row>
    <row r="765" ht="15.75" customHeight="1">
      <c r="B765" s="192"/>
    </row>
    <row r="766" ht="15.75" customHeight="1">
      <c r="B766" s="192"/>
    </row>
    <row r="767" ht="15.75" customHeight="1">
      <c r="B767" s="192"/>
    </row>
    <row r="768" ht="15.75" customHeight="1">
      <c r="B768" s="192"/>
    </row>
    <row r="769" ht="15.75" customHeight="1">
      <c r="B769" s="192"/>
    </row>
    <row r="770" ht="15.75" customHeight="1">
      <c r="B770" s="192"/>
    </row>
    <row r="771" ht="15.75" customHeight="1">
      <c r="B771" s="192"/>
    </row>
    <row r="772" ht="15.75" customHeight="1">
      <c r="B772" s="192"/>
    </row>
    <row r="773" ht="15.75" customHeight="1">
      <c r="B773" s="192"/>
    </row>
    <row r="774" ht="15.75" customHeight="1">
      <c r="B774" s="192"/>
    </row>
    <row r="775" ht="15.75" customHeight="1">
      <c r="B775" s="192"/>
    </row>
    <row r="776" ht="15.75" customHeight="1">
      <c r="B776" s="192"/>
    </row>
    <row r="777" ht="15.75" customHeight="1">
      <c r="B777" s="192"/>
    </row>
    <row r="778" ht="15.75" customHeight="1">
      <c r="B778" s="192"/>
    </row>
    <row r="779" ht="15.75" customHeight="1">
      <c r="B779" s="192"/>
    </row>
    <row r="780" ht="15.75" customHeight="1">
      <c r="B780" s="192"/>
    </row>
    <row r="781" ht="15.75" customHeight="1">
      <c r="B781" s="192"/>
    </row>
    <row r="782" ht="15.75" customHeight="1">
      <c r="B782" s="192"/>
    </row>
    <row r="783" ht="15.75" customHeight="1">
      <c r="B783" s="192"/>
    </row>
    <row r="784" ht="15.75" customHeight="1">
      <c r="B784" s="192"/>
    </row>
    <row r="785" ht="15.75" customHeight="1">
      <c r="B785" s="192"/>
    </row>
    <row r="786" ht="15.75" customHeight="1">
      <c r="B786" s="192"/>
    </row>
    <row r="787" ht="15.75" customHeight="1">
      <c r="B787" s="192"/>
    </row>
    <row r="788" ht="15.75" customHeight="1">
      <c r="B788" s="192"/>
    </row>
    <row r="789" ht="15.75" customHeight="1">
      <c r="B789" s="192"/>
    </row>
    <row r="790" ht="15.75" customHeight="1">
      <c r="B790" s="192"/>
    </row>
    <row r="791" ht="15.75" customHeight="1">
      <c r="B791" s="192"/>
    </row>
    <row r="792" ht="15.75" customHeight="1">
      <c r="B792" s="192"/>
    </row>
    <row r="793" ht="15.75" customHeight="1">
      <c r="B793" s="192"/>
    </row>
    <row r="794" ht="15.75" customHeight="1">
      <c r="B794" s="192"/>
    </row>
    <row r="795" ht="15.75" customHeight="1">
      <c r="B795" s="192"/>
    </row>
    <row r="796" ht="15.75" customHeight="1">
      <c r="B796" s="192"/>
    </row>
    <row r="797" ht="15.75" customHeight="1">
      <c r="B797" s="192"/>
    </row>
    <row r="798" ht="15.75" customHeight="1">
      <c r="B798" s="192"/>
    </row>
    <row r="799" ht="15.75" customHeight="1">
      <c r="B799" s="192"/>
    </row>
    <row r="800" ht="15.75" customHeight="1">
      <c r="B800" s="192"/>
    </row>
    <row r="801" ht="15.75" customHeight="1">
      <c r="B801" s="192"/>
    </row>
    <row r="802" ht="15.75" customHeight="1">
      <c r="B802" s="192"/>
    </row>
    <row r="803" ht="15.75" customHeight="1">
      <c r="B803" s="192"/>
    </row>
    <row r="804" ht="15.75" customHeight="1">
      <c r="B804" s="192"/>
    </row>
    <row r="805" ht="15.75" customHeight="1">
      <c r="B805" s="192"/>
    </row>
    <row r="806" ht="15.75" customHeight="1">
      <c r="B806" s="192"/>
    </row>
    <row r="807" ht="15.75" customHeight="1">
      <c r="B807" s="192"/>
    </row>
    <row r="808" ht="15.75" customHeight="1">
      <c r="B808" s="192"/>
    </row>
    <row r="809" ht="15.75" customHeight="1">
      <c r="B809" s="192"/>
    </row>
    <row r="810" ht="15.75" customHeight="1">
      <c r="B810" s="192"/>
    </row>
    <row r="811" ht="15.75" customHeight="1">
      <c r="B811" s="192"/>
    </row>
    <row r="812" ht="15.75" customHeight="1">
      <c r="B812" s="192"/>
    </row>
    <row r="813" ht="15.75" customHeight="1">
      <c r="B813" s="192"/>
    </row>
    <row r="814" ht="15.75" customHeight="1">
      <c r="B814" s="192"/>
    </row>
    <row r="815" ht="15.75" customHeight="1">
      <c r="B815" s="192"/>
    </row>
    <row r="816" ht="15.75" customHeight="1">
      <c r="B816" s="192"/>
    </row>
    <row r="817" ht="15.75" customHeight="1">
      <c r="B817" s="192"/>
    </row>
    <row r="818" ht="15.75" customHeight="1">
      <c r="B818" s="192"/>
    </row>
    <row r="819" ht="15.75" customHeight="1">
      <c r="B819" s="192"/>
    </row>
    <row r="820" ht="15.75" customHeight="1">
      <c r="B820" s="192"/>
    </row>
    <row r="821" ht="15.75" customHeight="1">
      <c r="B821" s="192"/>
    </row>
    <row r="822" ht="15.75" customHeight="1">
      <c r="B822" s="192"/>
    </row>
    <row r="823" ht="15.75" customHeight="1">
      <c r="B823" s="192"/>
    </row>
    <row r="824" ht="15.75" customHeight="1">
      <c r="B824" s="192"/>
    </row>
    <row r="825" ht="15.75" customHeight="1">
      <c r="B825" s="192"/>
    </row>
    <row r="826" ht="15.75" customHeight="1">
      <c r="B826" s="192"/>
    </row>
    <row r="827" ht="15.75" customHeight="1">
      <c r="B827" s="192"/>
    </row>
    <row r="828" ht="15.75" customHeight="1">
      <c r="B828" s="192"/>
    </row>
    <row r="829" ht="15.75" customHeight="1">
      <c r="B829" s="192"/>
    </row>
    <row r="830" ht="15.75" customHeight="1">
      <c r="B830" s="192"/>
    </row>
    <row r="831" ht="15.75" customHeight="1">
      <c r="B831" s="192"/>
    </row>
    <row r="832" ht="15.75" customHeight="1">
      <c r="B832" s="192"/>
    </row>
    <row r="833" ht="15.75" customHeight="1">
      <c r="B833" s="192"/>
    </row>
    <row r="834" ht="15.75" customHeight="1">
      <c r="B834" s="192"/>
    </row>
    <row r="835" ht="15.75" customHeight="1">
      <c r="B835" s="192"/>
    </row>
    <row r="836" ht="15.75" customHeight="1">
      <c r="B836" s="192"/>
    </row>
    <row r="837" ht="15.75" customHeight="1">
      <c r="B837" s="192"/>
    </row>
    <row r="838" ht="15.75" customHeight="1">
      <c r="B838" s="192"/>
    </row>
    <row r="839" ht="15.75" customHeight="1">
      <c r="B839" s="192"/>
    </row>
    <row r="840" ht="15.75" customHeight="1">
      <c r="B840" s="192"/>
    </row>
    <row r="841" ht="15.75" customHeight="1">
      <c r="B841" s="192"/>
    </row>
    <row r="842" ht="15.75" customHeight="1">
      <c r="B842" s="192"/>
    </row>
    <row r="843" ht="15.75" customHeight="1">
      <c r="B843" s="192"/>
    </row>
    <row r="844" ht="15.75" customHeight="1">
      <c r="B844" s="192"/>
    </row>
    <row r="845" ht="15.75" customHeight="1">
      <c r="B845" s="192"/>
    </row>
    <row r="846" ht="15.75" customHeight="1">
      <c r="B846" s="192"/>
    </row>
    <row r="847" ht="15.75" customHeight="1">
      <c r="B847" s="192"/>
    </row>
    <row r="848" ht="15.75" customHeight="1">
      <c r="B848" s="192"/>
    </row>
    <row r="849" ht="15.75" customHeight="1">
      <c r="B849" s="192"/>
    </row>
    <row r="850" ht="15.75" customHeight="1">
      <c r="B850" s="192"/>
    </row>
    <row r="851" ht="15.75" customHeight="1">
      <c r="B851" s="192"/>
    </row>
    <row r="852" ht="15.75" customHeight="1">
      <c r="B852" s="192"/>
    </row>
    <row r="853" ht="15.75" customHeight="1">
      <c r="B853" s="192"/>
    </row>
    <row r="854" ht="15.75" customHeight="1">
      <c r="B854" s="192"/>
    </row>
    <row r="855" ht="15.75" customHeight="1">
      <c r="B855" s="192"/>
    </row>
    <row r="856" ht="15.75" customHeight="1">
      <c r="B856" s="192"/>
    </row>
    <row r="857" ht="15.75" customHeight="1">
      <c r="B857" s="192"/>
    </row>
    <row r="858" ht="15.75" customHeight="1">
      <c r="B858" s="192"/>
    </row>
    <row r="859" ht="15.75" customHeight="1">
      <c r="B859" s="192"/>
    </row>
    <row r="860" ht="15.75" customHeight="1">
      <c r="B860" s="192"/>
    </row>
    <row r="861" ht="15.75" customHeight="1">
      <c r="B861" s="192"/>
    </row>
    <row r="862" ht="15.75" customHeight="1">
      <c r="B862" s="192"/>
    </row>
    <row r="863" ht="15.75" customHeight="1">
      <c r="B863" s="192"/>
    </row>
    <row r="864" ht="15.75" customHeight="1">
      <c r="B864" s="192"/>
    </row>
    <row r="865" ht="15.75" customHeight="1">
      <c r="B865" s="192"/>
    </row>
    <row r="866" ht="15.75" customHeight="1">
      <c r="B866" s="192"/>
    </row>
    <row r="867" ht="15.75" customHeight="1">
      <c r="B867" s="192"/>
    </row>
    <row r="868" ht="15.75" customHeight="1">
      <c r="B868" s="192"/>
    </row>
    <row r="869" ht="15.75" customHeight="1">
      <c r="B869" s="192"/>
    </row>
    <row r="870" ht="15.75" customHeight="1">
      <c r="B870" s="192"/>
    </row>
    <row r="871" ht="15.75" customHeight="1">
      <c r="B871" s="192"/>
    </row>
    <row r="872" ht="15.75" customHeight="1">
      <c r="B872" s="192"/>
    </row>
    <row r="873" ht="15.75" customHeight="1">
      <c r="B873" s="192"/>
    </row>
    <row r="874" ht="15.75" customHeight="1">
      <c r="B874" s="192"/>
    </row>
    <row r="875" ht="15.75" customHeight="1">
      <c r="B875" s="192"/>
    </row>
    <row r="876" ht="15.75" customHeight="1">
      <c r="B876" s="192"/>
    </row>
    <row r="877" ht="15.75" customHeight="1">
      <c r="B877" s="192"/>
    </row>
    <row r="878" ht="15.75" customHeight="1">
      <c r="B878" s="192"/>
    </row>
    <row r="879" ht="15.75" customHeight="1">
      <c r="B879" s="192"/>
    </row>
    <row r="880" ht="15.75" customHeight="1">
      <c r="B880" s="192"/>
    </row>
    <row r="881" ht="15.75" customHeight="1">
      <c r="B881" s="192"/>
    </row>
    <row r="882" ht="15.75" customHeight="1">
      <c r="B882" s="192"/>
    </row>
    <row r="883" ht="15.75" customHeight="1">
      <c r="B883" s="192"/>
    </row>
    <row r="884" ht="15.75" customHeight="1">
      <c r="B884" s="192"/>
    </row>
    <row r="885" ht="15.75" customHeight="1">
      <c r="B885" s="192"/>
    </row>
    <row r="886" ht="15.75" customHeight="1">
      <c r="B886" s="192"/>
    </row>
    <row r="887" ht="15.75" customHeight="1">
      <c r="B887" s="192"/>
    </row>
    <row r="888" ht="15.75" customHeight="1">
      <c r="B888" s="192"/>
    </row>
    <row r="889" ht="15.75" customHeight="1">
      <c r="B889" s="192"/>
    </row>
    <row r="890" ht="15.75" customHeight="1">
      <c r="B890" s="192"/>
    </row>
    <row r="891" ht="15.75" customHeight="1">
      <c r="B891" s="192"/>
    </row>
    <row r="892" ht="15.75" customHeight="1">
      <c r="B892" s="192"/>
    </row>
    <row r="893" ht="15.75" customHeight="1">
      <c r="B893" s="192"/>
    </row>
    <row r="894" ht="15.75" customHeight="1">
      <c r="B894" s="192"/>
    </row>
    <row r="895" ht="15.75" customHeight="1">
      <c r="B895" s="192"/>
    </row>
    <row r="896" ht="15.75" customHeight="1">
      <c r="B896" s="192"/>
    </row>
    <row r="897" ht="15.75" customHeight="1">
      <c r="B897" s="192"/>
    </row>
    <row r="898" ht="15.75" customHeight="1">
      <c r="B898" s="192"/>
    </row>
    <row r="899" ht="15.75" customHeight="1">
      <c r="B899" s="192"/>
    </row>
    <row r="900" ht="15.75" customHeight="1">
      <c r="B900" s="192"/>
    </row>
    <row r="901" ht="15.75" customHeight="1">
      <c r="B901" s="192"/>
    </row>
    <row r="902" ht="15.75" customHeight="1">
      <c r="B902" s="192"/>
    </row>
    <row r="903" ht="15.75" customHeight="1">
      <c r="B903" s="192"/>
    </row>
    <row r="904" ht="15.75" customHeight="1">
      <c r="B904" s="192"/>
    </row>
    <row r="905" ht="15.75" customHeight="1">
      <c r="B905" s="192"/>
    </row>
    <row r="906" ht="15.75" customHeight="1">
      <c r="B906" s="192"/>
    </row>
    <row r="907" ht="15.75" customHeight="1">
      <c r="B907" s="192"/>
    </row>
    <row r="908" ht="15.75" customHeight="1">
      <c r="B908" s="192"/>
    </row>
    <row r="909" ht="15.75" customHeight="1">
      <c r="B909" s="192"/>
    </row>
    <row r="910" ht="15.75" customHeight="1">
      <c r="B910" s="192"/>
    </row>
    <row r="911" ht="15.75" customHeight="1">
      <c r="B911" s="192"/>
    </row>
    <row r="912" ht="15.75" customHeight="1">
      <c r="B912" s="192"/>
    </row>
    <row r="913" ht="15.75" customHeight="1">
      <c r="B913" s="192"/>
    </row>
    <row r="914" ht="15.75" customHeight="1">
      <c r="B914" s="192"/>
    </row>
    <row r="915" ht="15.75" customHeight="1">
      <c r="B915" s="192"/>
    </row>
    <row r="916" ht="15.75" customHeight="1">
      <c r="B916" s="192"/>
    </row>
    <row r="917" ht="15.75" customHeight="1">
      <c r="B917" s="192"/>
    </row>
    <row r="918" ht="15.75" customHeight="1">
      <c r="B918" s="192"/>
    </row>
    <row r="919" ht="15.75" customHeight="1">
      <c r="B919" s="192"/>
    </row>
    <row r="920" ht="15.75" customHeight="1">
      <c r="B920" s="192"/>
    </row>
    <row r="921" ht="15.75" customHeight="1">
      <c r="B921" s="192"/>
    </row>
    <row r="922" ht="15.75" customHeight="1">
      <c r="B922" s="192"/>
    </row>
    <row r="923" ht="15.75" customHeight="1">
      <c r="B923" s="192"/>
    </row>
    <row r="924" ht="15.75" customHeight="1">
      <c r="B924" s="192"/>
    </row>
    <row r="925" ht="15.75" customHeight="1">
      <c r="B925" s="192"/>
    </row>
    <row r="926" ht="15.75" customHeight="1">
      <c r="B926" s="192"/>
    </row>
    <row r="927" ht="15.75" customHeight="1">
      <c r="B927" s="192"/>
    </row>
    <row r="928" ht="15.75" customHeight="1">
      <c r="B928" s="192"/>
    </row>
    <row r="929" ht="15.75" customHeight="1">
      <c r="B929" s="192"/>
    </row>
    <row r="930" ht="15.75" customHeight="1">
      <c r="B930" s="192"/>
    </row>
    <row r="931" ht="15.75" customHeight="1">
      <c r="B931" s="192"/>
    </row>
    <row r="932" ht="15.75" customHeight="1">
      <c r="B932" s="192"/>
    </row>
    <row r="933" ht="15.75" customHeight="1">
      <c r="B933" s="192"/>
    </row>
    <row r="934" ht="15.75" customHeight="1">
      <c r="B934" s="192"/>
    </row>
    <row r="935" ht="15.75" customHeight="1">
      <c r="B935" s="192"/>
    </row>
    <row r="936" ht="15.75" customHeight="1">
      <c r="B936" s="192"/>
    </row>
    <row r="937" ht="15.75" customHeight="1">
      <c r="B937" s="192"/>
    </row>
    <row r="938" ht="15.75" customHeight="1">
      <c r="B938" s="192"/>
    </row>
    <row r="939" ht="15.75" customHeight="1">
      <c r="B939" s="192"/>
    </row>
    <row r="940" ht="15.75" customHeight="1">
      <c r="B940" s="192"/>
    </row>
    <row r="941" ht="15.75" customHeight="1">
      <c r="B941" s="192"/>
    </row>
    <row r="942" ht="15.75" customHeight="1">
      <c r="B942" s="192"/>
    </row>
    <row r="943" ht="15.75" customHeight="1">
      <c r="B943" s="192"/>
    </row>
    <row r="944" ht="15.75" customHeight="1">
      <c r="B944" s="192"/>
    </row>
    <row r="945" ht="15.75" customHeight="1">
      <c r="B945" s="192"/>
    </row>
    <row r="946" ht="15.75" customHeight="1">
      <c r="B946" s="192"/>
    </row>
    <row r="947" ht="15.75" customHeight="1">
      <c r="B947" s="192"/>
    </row>
    <row r="948" ht="15.75" customHeight="1">
      <c r="B948" s="192"/>
    </row>
    <row r="949" ht="15.75" customHeight="1">
      <c r="B949" s="192"/>
    </row>
    <row r="950" ht="15.75" customHeight="1">
      <c r="B950" s="192"/>
    </row>
    <row r="951" ht="15.75" customHeight="1">
      <c r="B951" s="192"/>
    </row>
    <row r="952" ht="15.75" customHeight="1">
      <c r="B952" s="192"/>
    </row>
    <row r="953" ht="15.75" customHeight="1">
      <c r="B953" s="192"/>
    </row>
    <row r="954" ht="15.75" customHeight="1">
      <c r="B954" s="192"/>
    </row>
    <row r="955" ht="15.75" customHeight="1">
      <c r="B955" s="192"/>
    </row>
    <row r="956" ht="15.75" customHeight="1">
      <c r="B956" s="192"/>
    </row>
    <row r="957" ht="15.75" customHeight="1">
      <c r="B957" s="192"/>
    </row>
    <row r="958" ht="15.75" customHeight="1">
      <c r="B958" s="192"/>
    </row>
    <row r="959" ht="15.75" customHeight="1">
      <c r="B959" s="192"/>
    </row>
    <row r="960" ht="15.75" customHeight="1">
      <c r="B960" s="192"/>
    </row>
    <row r="961" ht="15.75" customHeight="1">
      <c r="B961" s="192"/>
    </row>
    <row r="962" ht="15.75" customHeight="1">
      <c r="B962" s="192"/>
    </row>
    <row r="963" ht="15.75" customHeight="1">
      <c r="B963" s="192"/>
    </row>
    <row r="964" ht="15.75" customHeight="1">
      <c r="B964" s="192"/>
    </row>
    <row r="965" ht="15.75" customHeight="1">
      <c r="B965" s="192"/>
    </row>
    <row r="966" ht="15.75" customHeight="1">
      <c r="B966" s="192"/>
    </row>
    <row r="967" ht="15.75" customHeight="1">
      <c r="B967" s="192"/>
    </row>
    <row r="968" ht="15.75" customHeight="1">
      <c r="B968" s="192"/>
    </row>
    <row r="969" ht="15.75" customHeight="1">
      <c r="B969" s="192"/>
    </row>
    <row r="970" ht="15.75" customHeight="1">
      <c r="B970" s="192"/>
    </row>
    <row r="971" ht="15.75" customHeight="1">
      <c r="B971" s="192"/>
    </row>
    <row r="972" ht="15.75" customHeight="1">
      <c r="B972" s="192"/>
    </row>
    <row r="973" ht="15.75" customHeight="1">
      <c r="B973" s="192"/>
    </row>
    <row r="974" ht="15.75" customHeight="1">
      <c r="B974" s="192"/>
    </row>
    <row r="975" ht="15.75" customHeight="1">
      <c r="B975" s="192"/>
    </row>
    <row r="976" ht="15.75" customHeight="1">
      <c r="B976" s="192"/>
    </row>
    <row r="977" ht="15.75" customHeight="1">
      <c r="B977" s="192"/>
    </row>
    <row r="978" ht="15.75" customHeight="1">
      <c r="B978" s="192"/>
    </row>
    <row r="979" ht="15.75" customHeight="1">
      <c r="B979" s="192"/>
    </row>
    <row r="980" ht="15.75" customHeight="1">
      <c r="B980" s="192"/>
    </row>
    <row r="981" ht="15.75" customHeight="1">
      <c r="B981" s="192"/>
    </row>
    <row r="982" ht="15.75" customHeight="1">
      <c r="B982" s="192"/>
    </row>
    <row r="983" ht="15.75" customHeight="1">
      <c r="B983" s="192"/>
    </row>
    <row r="984" ht="15.75" customHeight="1">
      <c r="B984" s="192"/>
    </row>
    <row r="985" ht="15.75" customHeight="1">
      <c r="B985" s="192"/>
    </row>
    <row r="986" ht="15.75" customHeight="1">
      <c r="B986" s="192"/>
    </row>
    <row r="987" ht="15.75" customHeight="1">
      <c r="B987" s="192"/>
    </row>
    <row r="988" ht="15.75" customHeight="1">
      <c r="B988" s="192"/>
    </row>
    <row r="989" ht="15.75" customHeight="1">
      <c r="B989" s="192"/>
    </row>
    <row r="990" ht="15.75" customHeight="1">
      <c r="B990" s="192"/>
    </row>
    <row r="991" ht="15.75" customHeight="1">
      <c r="B991" s="192"/>
    </row>
    <row r="992" ht="15.75" customHeight="1">
      <c r="B992" s="192"/>
    </row>
    <row r="993" ht="15.75" customHeight="1">
      <c r="B993" s="192"/>
    </row>
    <row r="994" ht="15.75" customHeight="1">
      <c r="B994" s="192"/>
    </row>
    <row r="995" ht="15.75" customHeight="1">
      <c r="B995" s="192"/>
    </row>
    <row r="996" ht="15.75" customHeight="1">
      <c r="B996" s="192"/>
    </row>
    <row r="997" ht="15.75" customHeight="1">
      <c r="B997" s="192"/>
    </row>
    <row r="998" ht="15.75" customHeight="1">
      <c r="B998" s="192"/>
    </row>
    <row r="999" ht="15.75" customHeight="1">
      <c r="B999" s="192"/>
    </row>
    <row r="1000" ht="15.75" customHeight="1">
      <c r="B1000" s="192"/>
    </row>
  </sheetData>
  <mergeCells count="32">
    <mergeCell ref="A1:B3"/>
    <mergeCell ref="C1:E5"/>
    <mergeCell ref="F1:F3"/>
    <mergeCell ref="A6:C6"/>
    <mergeCell ref="D6:F6"/>
    <mergeCell ref="A7:C7"/>
    <mergeCell ref="D7:F7"/>
    <mergeCell ref="A8:C8"/>
    <mergeCell ref="D8:F8"/>
    <mergeCell ref="B9:C10"/>
    <mergeCell ref="D9:E9"/>
    <mergeCell ref="F9:F10"/>
    <mergeCell ref="A11:C11"/>
    <mergeCell ref="B12:C12"/>
    <mergeCell ref="B34:C34"/>
    <mergeCell ref="B41:C41"/>
    <mergeCell ref="A9:A10"/>
    <mergeCell ref="A13:A16"/>
    <mergeCell ref="B17:C17"/>
    <mergeCell ref="A18:A20"/>
    <mergeCell ref="B21:C21"/>
    <mergeCell ref="A22:A33"/>
    <mergeCell ref="A35:A40"/>
    <mergeCell ref="A53:A56"/>
    <mergeCell ref="A58:A61"/>
    <mergeCell ref="A42:A43"/>
    <mergeCell ref="B44:C44"/>
    <mergeCell ref="A45:A46"/>
    <mergeCell ref="B47:C47"/>
    <mergeCell ref="A48:A51"/>
    <mergeCell ref="B52:C52"/>
    <mergeCell ref="B57:C5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17.78"/>
    <col customWidth="1" min="3" max="3" width="60.78"/>
    <col customWidth="1" min="4" max="5" width="10.56"/>
    <col customWidth="1" min="6" max="6" width="60.78"/>
    <col customWidth="1" min="7" max="26" width="10.56"/>
  </cols>
  <sheetData>
    <row r="1" ht="19.5" customHeight="1">
      <c r="A1" s="193"/>
      <c r="B1" s="2"/>
      <c r="C1" s="194" t="s">
        <v>76</v>
      </c>
      <c r="D1" s="2"/>
      <c r="E1" s="46"/>
      <c r="F1" s="195" t="s">
        <v>321</v>
      </c>
    </row>
    <row r="2" ht="19.5" customHeight="1">
      <c r="A2" s="147"/>
      <c r="C2" s="147"/>
      <c r="E2" s="94"/>
      <c r="F2" s="95"/>
    </row>
    <row r="3" ht="19.5" customHeight="1">
      <c r="A3" s="5"/>
      <c r="B3" s="6"/>
      <c r="C3" s="5"/>
      <c r="D3" s="6"/>
      <c r="E3" s="48"/>
      <c r="F3" s="7"/>
    </row>
    <row r="4" ht="18.0" customHeight="1">
      <c r="A4" s="50" t="s">
        <v>78</v>
      </c>
      <c r="B4" s="13"/>
      <c r="C4" s="13"/>
      <c r="D4" s="100" t="s">
        <v>79</v>
      </c>
      <c r="E4" s="101"/>
      <c r="F4" s="102"/>
    </row>
    <row r="5" ht="18.0" customHeight="1">
      <c r="A5" s="50" t="s">
        <v>80</v>
      </c>
      <c r="B5" s="13"/>
      <c r="C5" s="13"/>
      <c r="D5" s="100" t="s">
        <v>81</v>
      </c>
      <c r="E5" s="101"/>
      <c r="F5" s="102"/>
    </row>
    <row r="6" ht="18.0" customHeight="1">
      <c r="A6" s="50" t="s">
        <v>82</v>
      </c>
      <c r="B6" s="13"/>
      <c r="C6" s="13"/>
      <c r="D6" s="100" t="s">
        <v>7</v>
      </c>
      <c r="E6" s="101"/>
      <c r="F6" s="102"/>
    </row>
    <row r="7" ht="15.75" customHeight="1">
      <c r="A7" s="196" t="s">
        <v>8</v>
      </c>
      <c r="B7" s="197" t="s">
        <v>83</v>
      </c>
      <c r="C7" s="2"/>
      <c r="D7" s="19" t="s">
        <v>84</v>
      </c>
      <c r="E7" s="20"/>
      <c r="F7" s="196" t="s">
        <v>49</v>
      </c>
    </row>
    <row r="8" ht="15.75" customHeight="1">
      <c r="A8" s="7"/>
      <c r="B8" s="5"/>
      <c r="C8" s="6"/>
      <c r="D8" s="18" t="s">
        <v>85</v>
      </c>
      <c r="E8" s="18" t="s">
        <v>86</v>
      </c>
      <c r="F8" s="7"/>
    </row>
    <row r="9" ht="15.75" customHeight="1">
      <c r="A9" s="150" t="s">
        <v>373</v>
      </c>
      <c r="B9" s="13"/>
      <c r="C9" s="20"/>
      <c r="D9" s="198" t="s">
        <v>88</v>
      </c>
      <c r="E9" s="198" t="s">
        <v>88</v>
      </c>
      <c r="F9" s="199"/>
    </row>
    <row r="10" ht="34.5" customHeight="1">
      <c r="A10" s="200">
        <v>9.1</v>
      </c>
      <c r="B10" s="201" t="s">
        <v>374</v>
      </c>
      <c r="C10" s="13"/>
      <c r="D10" s="202"/>
      <c r="E10" s="202"/>
      <c r="F10" s="203"/>
    </row>
    <row r="11" ht="60.0" customHeight="1">
      <c r="A11" s="204"/>
      <c r="B11" s="205">
        <v>1.0</v>
      </c>
      <c r="C11" s="206" t="s">
        <v>375</v>
      </c>
      <c r="D11" s="207" t="s">
        <v>88</v>
      </c>
      <c r="E11" s="207" t="s">
        <v>88</v>
      </c>
      <c r="F11" s="208"/>
    </row>
    <row r="12" ht="34.5" customHeight="1">
      <c r="A12" s="200">
        <v>9.2</v>
      </c>
      <c r="B12" s="201" t="s">
        <v>376</v>
      </c>
      <c r="C12" s="13"/>
      <c r="D12" s="202"/>
      <c r="E12" s="202"/>
      <c r="F12" s="203"/>
    </row>
    <row r="13" ht="60.0" customHeight="1">
      <c r="A13" s="204"/>
      <c r="B13" s="205">
        <v>2.0</v>
      </c>
      <c r="C13" s="206" t="s">
        <v>377</v>
      </c>
      <c r="D13" s="207" t="s">
        <v>88</v>
      </c>
      <c r="E13" s="207" t="s">
        <v>88</v>
      </c>
      <c r="F13" s="208"/>
      <c r="K13" s="86"/>
    </row>
    <row r="14" ht="34.5" customHeight="1">
      <c r="A14" s="200">
        <v>9.3</v>
      </c>
      <c r="B14" s="201" t="s">
        <v>378</v>
      </c>
      <c r="C14" s="13"/>
      <c r="D14" s="202"/>
      <c r="E14" s="202"/>
      <c r="F14" s="203"/>
    </row>
    <row r="15" ht="30.0" customHeight="1">
      <c r="A15" s="204"/>
      <c r="B15" s="205">
        <v>3.0</v>
      </c>
      <c r="C15" s="209" t="s">
        <v>379</v>
      </c>
      <c r="D15" s="207" t="s">
        <v>88</v>
      </c>
      <c r="E15" s="207" t="s">
        <v>88</v>
      </c>
      <c r="F15" s="208"/>
    </row>
    <row r="16" ht="34.5" customHeight="1">
      <c r="A16" s="200">
        <v>9.4</v>
      </c>
      <c r="B16" s="201" t="s">
        <v>380</v>
      </c>
      <c r="C16" s="13"/>
      <c r="D16" s="202"/>
      <c r="E16" s="202"/>
      <c r="F16" s="203"/>
    </row>
    <row r="17" ht="15.75" customHeight="1">
      <c r="A17" s="204"/>
      <c r="B17" s="205">
        <v>4.0</v>
      </c>
      <c r="C17" s="210" t="s">
        <v>381</v>
      </c>
      <c r="D17" s="207" t="s">
        <v>88</v>
      </c>
      <c r="E17" s="207" t="s">
        <v>88</v>
      </c>
      <c r="F17" s="208"/>
    </row>
    <row r="18" ht="34.5" customHeight="1">
      <c r="A18" s="200">
        <v>9.5</v>
      </c>
      <c r="B18" s="201" t="s">
        <v>382</v>
      </c>
      <c r="C18" s="20"/>
      <c r="D18" s="202"/>
      <c r="E18" s="202"/>
      <c r="F18" s="203"/>
    </row>
    <row r="19" ht="30.0" customHeight="1">
      <c r="A19" s="211"/>
      <c r="B19" s="205">
        <v>5.0</v>
      </c>
      <c r="C19" s="210" t="s">
        <v>383</v>
      </c>
      <c r="D19" s="207" t="s">
        <v>88</v>
      </c>
      <c r="E19" s="207" t="s">
        <v>88</v>
      </c>
      <c r="F19" s="208"/>
    </row>
    <row r="20" ht="30.0" customHeight="1">
      <c r="A20" s="95"/>
      <c r="B20" s="205">
        <v>6.0</v>
      </c>
      <c r="C20" s="212" t="s">
        <v>384</v>
      </c>
      <c r="D20" s="207" t="s">
        <v>88</v>
      </c>
      <c r="E20" s="207" t="s">
        <v>88</v>
      </c>
      <c r="F20" s="208"/>
    </row>
    <row r="21" ht="30.0" customHeight="1">
      <c r="A21" s="95"/>
      <c r="B21" s="205">
        <v>7.0</v>
      </c>
      <c r="C21" s="212" t="s">
        <v>385</v>
      </c>
      <c r="D21" s="207" t="s">
        <v>88</v>
      </c>
      <c r="E21" s="207" t="s">
        <v>88</v>
      </c>
      <c r="F21" s="208"/>
    </row>
    <row r="22" ht="30.0" customHeight="1">
      <c r="A22" s="7"/>
      <c r="B22" s="205">
        <v>8.0</v>
      </c>
      <c r="C22" s="212" t="s">
        <v>386</v>
      </c>
      <c r="D22" s="207" t="s">
        <v>88</v>
      </c>
      <c r="E22" s="207" t="s">
        <v>88</v>
      </c>
      <c r="F22" s="208"/>
    </row>
    <row r="23" ht="34.5" customHeight="1">
      <c r="A23" s="200">
        <v>9.6</v>
      </c>
      <c r="B23" s="201" t="s">
        <v>387</v>
      </c>
      <c r="C23" s="20"/>
      <c r="D23" s="202"/>
      <c r="E23" s="202"/>
      <c r="F23" s="203"/>
    </row>
    <row r="24" ht="79.5" customHeight="1">
      <c r="A24" s="204"/>
      <c r="B24" s="205">
        <v>9.0</v>
      </c>
      <c r="C24" s="210" t="s">
        <v>388</v>
      </c>
      <c r="D24" s="207" t="s">
        <v>88</v>
      </c>
      <c r="E24" s="207" t="s">
        <v>88</v>
      </c>
      <c r="F24" s="208"/>
    </row>
    <row r="25" ht="34.5" customHeight="1">
      <c r="A25" s="200">
        <v>9.7</v>
      </c>
      <c r="B25" s="201" t="s">
        <v>126</v>
      </c>
      <c r="C25" s="20"/>
      <c r="D25" s="202"/>
      <c r="E25" s="202"/>
      <c r="F25" s="203"/>
    </row>
    <row r="26" ht="79.5" customHeight="1">
      <c r="A26" s="204"/>
      <c r="B26" s="205">
        <v>10.0</v>
      </c>
      <c r="C26" s="213" t="s">
        <v>389</v>
      </c>
      <c r="D26" s="207" t="s">
        <v>88</v>
      </c>
      <c r="E26" s="207" t="s">
        <v>88</v>
      </c>
      <c r="F26" s="208"/>
    </row>
    <row r="27" ht="34.5" customHeight="1">
      <c r="A27" s="200">
        <v>9.8</v>
      </c>
      <c r="B27" s="201" t="s">
        <v>390</v>
      </c>
      <c r="C27" s="13"/>
      <c r="D27" s="202"/>
      <c r="E27" s="202"/>
      <c r="F27" s="203"/>
    </row>
    <row r="28" ht="99.75" customHeight="1">
      <c r="A28" s="204"/>
      <c r="B28" s="205">
        <v>11.0</v>
      </c>
      <c r="C28" s="206" t="s">
        <v>391</v>
      </c>
      <c r="D28" s="207" t="s">
        <v>88</v>
      </c>
      <c r="E28" s="207" t="s">
        <v>88</v>
      </c>
      <c r="F28" s="20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B3"/>
    <mergeCell ref="C1:E3"/>
    <mergeCell ref="F1:F3"/>
    <mergeCell ref="A4:C4"/>
    <mergeCell ref="D4:F4"/>
    <mergeCell ref="A5:C5"/>
    <mergeCell ref="D5:F5"/>
    <mergeCell ref="A6:C6"/>
    <mergeCell ref="D6:F6"/>
    <mergeCell ref="A7:A8"/>
    <mergeCell ref="B7:C8"/>
    <mergeCell ref="D7:E7"/>
    <mergeCell ref="F7:F8"/>
    <mergeCell ref="A9:C9"/>
    <mergeCell ref="B25:C25"/>
    <mergeCell ref="B27:C27"/>
    <mergeCell ref="B10:C10"/>
    <mergeCell ref="B12:C12"/>
    <mergeCell ref="B14:C14"/>
    <mergeCell ref="B16:C16"/>
    <mergeCell ref="B18:C18"/>
    <mergeCell ref="A19:A22"/>
    <mergeCell ref="B23:C2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78"/>
    <col customWidth="1" min="2" max="2" width="18.0"/>
    <col customWidth="1" min="3" max="3" width="60.78"/>
    <col customWidth="1" min="4" max="5" width="10.78"/>
    <col customWidth="1" min="6" max="6" width="49.33"/>
    <col customWidth="1" min="7" max="7" width="10.78"/>
    <col customWidth="1" min="8" max="26" width="10.56"/>
  </cols>
  <sheetData>
    <row r="1" ht="19.5" customHeight="1">
      <c r="A1" s="193"/>
      <c r="B1" s="46"/>
      <c r="C1" s="194" t="s">
        <v>76</v>
      </c>
      <c r="D1" s="2"/>
      <c r="E1" s="46"/>
      <c r="F1" s="195" t="s">
        <v>321</v>
      </c>
      <c r="G1" s="11"/>
      <c r="H1" s="11"/>
      <c r="I1" s="11"/>
      <c r="J1" s="11"/>
      <c r="K1" s="11"/>
      <c r="L1" s="11"/>
      <c r="M1" s="11"/>
      <c r="N1" s="11"/>
      <c r="O1" s="11"/>
      <c r="P1" s="11"/>
      <c r="Q1" s="11"/>
      <c r="R1" s="11"/>
      <c r="S1" s="11"/>
      <c r="T1" s="11"/>
      <c r="U1" s="11"/>
      <c r="V1" s="11"/>
      <c r="W1" s="11"/>
      <c r="X1" s="11"/>
      <c r="Y1" s="11"/>
      <c r="Z1" s="11"/>
    </row>
    <row r="2" ht="19.5" customHeight="1">
      <c r="A2" s="147"/>
      <c r="B2" s="94"/>
      <c r="C2" s="147"/>
      <c r="E2" s="94"/>
      <c r="F2" s="95"/>
      <c r="G2" s="11"/>
      <c r="H2" s="11"/>
      <c r="I2" s="11"/>
      <c r="J2" s="11"/>
      <c r="K2" s="11"/>
      <c r="L2" s="11"/>
      <c r="M2" s="11"/>
      <c r="N2" s="11"/>
      <c r="O2" s="11"/>
      <c r="P2" s="11"/>
      <c r="Q2" s="11"/>
      <c r="R2" s="11"/>
      <c r="S2" s="11"/>
      <c r="T2" s="11"/>
      <c r="U2" s="11"/>
      <c r="V2" s="11"/>
      <c r="W2" s="11"/>
      <c r="X2" s="11"/>
      <c r="Y2" s="11"/>
      <c r="Z2" s="11"/>
    </row>
    <row r="3" ht="19.5" customHeight="1">
      <c r="A3" s="5"/>
      <c r="B3" s="48"/>
      <c r="C3" s="5"/>
      <c r="D3" s="6"/>
      <c r="E3" s="48"/>
      <c r="F3" s="7"/>
      <c r="G3" s="11"/>
      <c r="H3" s="11"/>
      <c r="I3" s="11"/>
      <c r="J3" s="11"/>
      <c r="K3" s="11"/>
      <c r="L3" s="11"/>
      <c r="M3" s="11"/>
      <c r="N3" s="11"/>
      <c r="O3" s="11"/>
      <c r="P3" s="11"/>
      <c r="Q3" s="11"/>
      <c r="R3" s="11"/>
      <c r="S3" s="11"/>
      <c r="T3" s="11"/>
      <c r="U3" s="11"/>
      <c r="V3" s="11"/>
      <c r="W3" s="11"/>
      <c r="X3" s="11"/>
      <c r="Y3" s="11"/>
      <c r="Z3" s="11"/>
    </row>
    <row r="4" ht="18.0" customHeight="1">
      <c r="A4" s="214" t="s">
        <v>78</v>
      </c>
      <c r="B4" s="215"/>
      <c r="C4" s="215"/>
      <c r="D4" s="100" t="s">
        <v>79</v>
      </c>
      <c r="E4" s="101"/>
      <c r="F4" s="102"/>
      <c r="G4" s="11"/>
      <c r="H4" s="11"/>
      <c r="I4" s="11"/>
      <c r="J4" s="11"/>
      <c r="K4" s="11"/>
      <c r="L4" s="11"/>
      <c r="M4" s="11"/>
      <c r="N4" s="11"/>
      <c r="O4" s="11"/>
      <c r="P4" s="11"/>
      <c r="Q4" s="11"/>
      <c r="R4" s="11"/>
      <c r="S4" s="11"/>
      <c r="T4" s="11"/>
      <c r="U4" s="11"/>
      <c r="V4" s="11"/>
      <c r="W4" s="11"/>
      <c r="X4" s="11"/>
      <c r="Y4" s="11"/>
      <c r="Z4" s="11"/>
    </row>
    <row r="5" ht="18.0" customHeight="1">
      <c r="A5" s="216" t="s">
        <v>80</v>
      </c>
      <c r="B5" s="101"/>
      <c r="C5" s="101"/>
      <c r="D5" s="100" t="s">
        <v>81</v>
      </c>
      <c r="E5" s="101"/>
      <c r="F5" s="102"/>
      <c r="G5" s="11"/>
      <c r="H5" s="11"/>
      <c r="I5" s="11"/>
      <c r="J5" s="11"/>
      <c r="K5" s="11"/>
      <c r="L5" s="11"/>
      <c r="M5" s="11"/>
      <c r="N5" s="11"/>
      <c r="O5" s="11"/>
      <c r="P5" s="11"/>
      <c r="Q5" s="11"/>
      <c r="R5" s="11"/>
      <c r="S5" s="11"/>
      <c r="T5" s="11"/>
      <c r="U5" s="11"/>
      <c r="V5" s="11"/>
      <c r="W5" s="11"/>
      <c r="X5" s="11"/>
      <c r="Y5" s="11"/>
      <c r="Z5" s="11"/>
    </row>
    <row r="6" ht="18.0" customHeight="1">
      <c r="A6" s="217" t="s">
        <v>82</v>
      </c>
      <c r="B6" s="218"/>
      <c r="C6" s="218"/>
      <c r="D6" s="100" t="s">
        <v>7</v>
      </c>
      <c r="E6" s="101"/>
      <c r="F6" s="102"/>
      <c r="G6" s="11"/>
      <c r="H6" s="11"/>
      <c r="I6" s="11"/>
      <c r="J6" s="11"/>
      <c r="K6" s="11"/>
      <c r="L6" s="11"/>
      <c r="M6" s="11"/>
      <c r="N6" s="11"/>
      <c r="O6" s="11"/>
      <c r="P6" s="11"/>
      <c r="Q6" s="11"/>
      <c r="R6" s="11"/>
      <c r="S6" s="11"/>
      <c r="T6" s="11"/>
      <c r="U6" s="11"/>
      <c r="V6" s="11"/>
      <c r="W6" s="11"/>
      <c r="X6" s="11"/>
      <c r="Y6" s="11"/>
      <c r="Z6" s="11"/>
    </row>
    <row r="7" ht="15.75" customHeight="1">
      <c r="A7" s="196" t="s">
        <v>8</v>
      </c>
      <c r="B7" s="197" t="s">
        <v>83</v>
      </c>
      <c r="C7" s="2"/>
      <c r="D7" s="19" t="s">
        <v>84</v>
      </c>
      <c r="E7" s="20"/>
      <c r="F7" s="196" t="s">
        <v>49</v>
      </c>
      <c r="G7" s="11"/>
      <c r="H7" s="11"/>
      <c r="I7" s="11"/>
      <c r="J7" s="11"/>
      <c r="K7" s="11"/>
      <c r="L7" s="11"/>
      <c r="M7" s="11"/>
      <c r="N7" s="11"/>
      <c r="O7" s="11"/>
      <c r="P7" s="11"/>
      <c r="Q7" s="11"/>
      <c r="R7" s="11"/>
      <c r="S7" s="11"/>
      <c r="T7" s="11"/>
      <c r="U7" s="11"/>
      <c r="V7" s="11"/>
      <c r="W7" s="11"/>
      <c r="X7" s="11"/>
      <c r="Y7" s="11"/>
      <c r="Z7" s="11"/>
    </row>
    <row r="8" ht="15.75" customHeight="1">
      <c r="A8" s="7"/>
      <c r="B8" s="5"/>
      <c r="C8" s="6"/>
      <c r="D8" s="18" t="s">
        <v>85</v>
      </c>
      <c r="E8" s="18" t="s">
        <v>86</v>
      </c>
      <c r="F8" s="7"/>
      <c r="G8" s="11"/>
      <c r="H8" s="11"/>
      <c r="I8" s="11"/>
      <c r="J8" s="11"/>
      <c r="K8" s="11"/>
      <c r="L8" s="11"/>
      <c r="M8" s="11"/>
      <c r="N8" s="11"/>
      <c r="O8" s="11"/>
      <c r="P8" s="11"/>
      <c r="Q8" s="11"/>
      <c r="R8" s="11"/>
      <c r="S8" s="11"/>
      <c r="T8" s="11"/>
      <c r="U8" s="11"/>
      <c r="V8" s="11"/>
      <c r="W8" s="11"/>
      <c r="X8" s="11"/>
      <c r="Y8" s="11"/>
      <c r="Z8" s="11"/>
    </row>
    <row r="9" ht="15.75" customHeight="1">
      <c r="A9" s="150" t="s">
        <v>392</v>
      </c>
      <c r="B9" s="13"/>
      <c r="C9" s="20"/>
      <c r="D9" s="219" t="s">
        <v>88</v>
      </c>
      <c r="E9" s="219" t="s">
        <v>88</v>
      </c>
      <c r="F9" s="151"/>
      <c r="G9" s="11"/>
      <c r="H9" s="11"/>
      <c r="I9" s="11"/>
      <c r="J9" s="11"/>
      <c r="K9" s="11"/>
      <c r="L9" s="11"/>
      <c r="M9" s="11"/>
      <c r="N9" s="11"/>
      <c r="O9" s="11"/>
      <c r="P9" s="11"/>
      <c r="Q9" s="11"/>
      <c r="R9" s="11"/>
      <c r="S9" s="11"/>
      <c r="T9" s="11"/>
      <c r="U9" s="11"/>
      <c r="V9" s="11"/>
      <c r="W9" s="11"/>
      <c r="X9" s="11"/>
      <c r="Y9" s="11"/>
      <c r="Z9" s="11"/>
    </row>
    <row r="10" ht="34.5" customHeight="1">
      <c r="A10" s="200">
        <v>10.1</v>
      </c>
      <c r="B10" s="201" t="s">
        <v>393</v>
      </c>
      <c r="C10" s="20"/>
      <c r="D10" s="220"/>
      <c r="E10" s="220"/>
      <c r="F10" s="154"/>
      <c r="G10" s="11"/>
      <c r="H10" s="11"/>
      <c r="I10" s="11"/>
      <c r="J10" s="11"/>
      <c r="K10" s="11"/>
      <c r="L10" s="11"/>
      <c r="M10" s="11"/>
      <c r="N10" s="11"/>
      <c r="O10" s="11"/>
      <c r="P10" s="11"/>
      <c r="Q10" s="11"/>
      <c r="R10" s="11"/>
      <c r="S10" s="11"/>
      <c r="T10" s="11"/>
      <c r="U10" s="11"/>
      <c r="V10" s="11"/>
      <c r="W10" s="11"/>
      <c r="X10" s="11"/>
      <c r="Y10" s="11"/>
      <c r="Z10" s="11"/>
    </row>
    <row r="11" ht="180.0" customHeight="1">
      <c r="A11" s="221"/>
      <c r="B11" s="23">
        <v>1.0</v>
      </c>
      <c r="C11" s="222" t="s">
        <v>394</v>
      </c>
      <c r="D11" s="223" t="s">
        <v>88</v>
      </c>
      <c r="E11" s="223" t="s">
        <v>88</v>
      </c>
      <c r="F11" s="221"/>
      <c r="G11" s="11"/>
      <c r="H11" s="11"/>
      <c r="I11" s="11"/>
      <c r="J11" s="11"/>
      <c r="K11" s="11"/>
      <c r="L11" s="11"/>
      <c r="M11" s="11"/>
      <c r="N11" s="11"/>
      <c r="O11" s="11"/>
      <c r="P11" s="11"/>
      <c r="Q11" s="11"/>
      <c r="R11" s="11"/>
      <c r="S11" s="11"/>
      <c r="T11" s="11"/>
      <c r="U11" s="11"/>
      <c r="V11" s="11"/>
      <c r="W11" s="11"/>
      <c r="X11" s="11"/>
      <c r="Y11" s="11"/>
      <c r="Z11" s="11"/>
    </row>
    <row r="12" ht="34.5" customHeight="1">
      <c r="A12" s="200">
        <v>10.2</v>
      </c>
      <c r="B12" s="201" t="s">
        <v>376</v>
      </c>
      <c r="C12" s="20"/>
      <c r="D12" s="202"/>
      <c r="E12" s="202"/>
      <c r="F12" s="157"/>
      <c r="G12" s="11"/>
      <c r="H12" s="11"/>
      <c r="I12" s="11"/>
      <c r="J12" s="11"/>
      <c r="K12" s="11"/>
      <c r="L12" s="11"/>
      <c r="M12" s="11"/>
      <c r="N12" s="11"/>
      <c r="O12" s="11"/>
      <c r="P12" s="11"/>
      <c r="Q12" s="11"/>
      <c r="R12" s="11"/>
      <c r="S12" s="11"/>
      <c r="T12" s="11"/>
      <c r="U12" s="11"/>
      <c r="V12" s="11"/>
      <c r="W12" s="11"/>
      <c r="X12" s="11"/>
      <c r="Y12" s="11"/>
      <c r="Z12" s="11"/>
    </row>
    <row r="13" ht="93.75" customHeight="1">
      <c r="A13" s="23"/>
      <c r="B13" s="23">
        <v>2.0</v>
      </c>
      <c r="C13" s="222" t="s">
        <v>395</v>
      </c>
      <c r="D13" s="223" t="s">
        <v>88</v>
      </c>
      <c r="E13" s="223" t="s">
        <v>88</v>
      </c>
      <c r="F13" s="221"/>
      <c r="G13" s="11"/>
      <c r="H13" s="11"/>
      <c r="I13" s="11"/>
      <c r="J13" s="11"/>
      <c r="K13" s="11"/>
      <c r="L13" s="11"/>
      <c r="M13" s="11"/>
      <c r="N13" s="11"/>
      <c r="O13" s="11"/>
      <c r="P13" s="11"/>
      <c r="Q13" s="11"/>
      <c r="R13" s="11"/>
      <c r="S13" s="11"/>
      <c r="T13" s="11"/>
      <c r="U13" s="11"/>
      <c r="V13" s="11"/>
      <c r="W13" s="11"/>
      <c r="X13" s="11"/>
      <c r="Y13" s="11"/>
      <c r="Z13" s="11"/>
    </row>
    <row r="14" ht="34.5" customHeight="1">
      <c r="A14" s="200">
        <v>10.3</v>
      </c>
      <c r="B14" s="201" t="s">
        <v>396</v>
      </c>
      <c r="C14" s="20"/>
      <c r="D14" s="202"/>
      <c r="E14" s="202"/>
      <c r="F14" s="157"/>
      <c r="G14" s="11"/>
      <c r="H14" s="11"/>
      <c r="I14" s="11"/>
      <c r="J14" s="11"/>
      <c r="K14" s="11"/>
      <c r="L14" s="11"/>
      <c r="M14" s="11"/>
      <c r="N14" s="11"/>
      <c r="O14" s="11"/>
      <c r="P14" s="11"/>
      <c r="Q14" s="11"/>
      <c r="R14" s="11"/>
      <c r="S14" s="11"/>
      <c r="T14" s="11"/>
      <c r="U14" s="11"/>
      <c r="V14" s="11"/>
      <c r="W14" s="11"/>
      <c r="X14" s="11"/>
      <c r="Y14" s="11"/>
      <c r="Z14" s="11"/>
    </row>
    <row r="15" ht="79.5" customHeight="1">
      <c r="A15" s="23"/>
      <c r="B15" s="23">
        <v>3.0</v>
      </c>
      <c r="C15" s="221" t="s">
        <v>397</v>
      </c>
      <c r="D15" s="223" t="s">
        <v>88</v>
      </c>
      <c r="E15" s="223" t="s">
        <v>88</v>
      </c>
      <c r="F15" s="221"/>
      <c r="G15" s="11"/>
      <c r="H15" s="11"/>
      <c r="I15" s="11"/>
      <c r="J15" s="11"/>
      <c r="K15" s="11"/>
      <c r="L15" s="11"/>
      <c r="M15" s="11"/>
      <c r="N15" s="11"/>
      <c r="O15" s="11"/>
      <c r="P15" s="11"/>
      <c r="Q15" s="11"/>
      <c r="R15" s="11"/>
      <c r="S15" s="11"/>
      <c r="T15" s="11"/>
      <c r="U15" s="11"/>
      <c r="V15" s="11"/>
      <c r="W15" s="11"/>
      <c r="X15" s="11"/>
      <c r="Y15" s="11"/>
      <c r="Z15" s="11"/>
    </row>
    <row r="16" ht="34.5" customHeight="1">
      <c r="A16" s="200">
        <v>10.4</v>
      </c>
      <c r="B16" s="201" t="s">
        <v>398</v>
      </c>
      <c r="C16" s="20"/>
      <c r="D16" s="224"/>
      <c r="E16" s="224"/>
      <c r="F16" s="158"/>
      <c r="G16" s="11"/>
      <c r="H16" s="11"/>
      <c r="I16" s="11"/>
      <c r="J16" s="11"/>
      <c r="K16" s="11"/>
      <c r="L16" s="11"/>
      <c r="M16" s="11"/>
      <c r="N16" s="11"/>
      <c r="O16" s="11"/>
      <c r="P16" s="11"/>
      <c r="Q16" s="11"/>
      <c r="R16" s="11"/>
      <c r="S16" s="11"/>
      <c r="T16" s="11"/>
      <c r="U16" s="11"/>
      <c r="V16" s="11"/>
      <c r="W16" s="11"/>
      <c r="X16" s="11"/>
      <c r="Y16" s="11"/>
      <c r="Z16" s="11"/>
    </row>
    <row r="17" ht="90.0" customHeight="1">
      <c r="A17" s="23"/>
      <c r="B17" s="23">
        <v>4.0</v>
      </c>
      <c r="C17" s="221" t="s">
        <v>399</v>
      </c>
      <c r="D17" s="223" t="s">
        <v>88</v>
      </c>
      <c r="E17" s="223" t="s">
        <v>88</v>
      </c>
      <c r="F17" s="221"/>
      <c r="G17" s="11"/>
      <c r="H17" s="11"/>
      <c r="I17" s="11"/>
      <c r="J17" s="11"/>
      <c r="K17" s="11"/>
      <c r="L17" s="11"/>
      <c r="M17" s="11"/>
      <c r="N17" s="11"/>
      <c r="O17" s="11"/>
      <c r="P17" s="11"/>
      <c r="Q17" s="11"/>
      <c r="R17" s="11"/>
      <c r="S17" s="11"/>
      <c r="T17" s="11"/>
      <c r="U17" s="11"/>
      <c r="V17" s="11"/>
      <c r="W17" s="11"/>
      <c r="X17" s="11"/>
      <c r="Y17" s="11"/>
      <c r="Z17" s="11"/>
    </row>
    <row r="18" ht="34.5" customHeight="1">
      <c r="A18" s="200">
        <v>10.5</v>
      </c>
      <c r="B18" s="201" t="s">
        <v>400</v>
      </c>
      <c r="C18" s="20"/>
      <c r="D18" s="224"/>
      <c r="E18" s="224"/>
      <c r="F18" s="158"/>
      <c r="G18" s="11"/>
      <c r="H18" s="11"/>
      <c r="I18" s="11"/>
      <c r="J18" s="11"/>
      <c r="K18" s="11"/>
      <c r="L18" s="11"/>
      <c r="M18" s="11"/>
      <c r="N18" s="11"/>
      <c r="O18" s="11"/>
      <c r="P18" s="11"/>
      <c r="Q18" s="11"/>
      <c r="R18" s="11"/>
      <c r="S18" s="11"/>
      <c r="T18" s="11"/>
      <c r="U18" s="11"/>
      <c r="V18" s="11"/>
      <c r="W18" s="11"/>
      <c r="X18" s="11"/>
      <c r="Y18" s="11"/>
      <c r="Z18" s="11"/>
    </row>
    <row r="19" ht="250.5" customHeight="1">
      <c r="A19" s="225"/>
      <c r="B19" s="225">
        <v>5.0</v>
      </c>
      <c r="C19" s="221" t="s">
        <v>401</v>
      </c>
      <c r="D19" s="226" t="s">
        <v>88</v>
      </c>
      <c r="E19" s="226" t="s">
        <v>88</v>
      </c>
      <c r="F19" s="227"/>
      <c r="G19" s="11"/>
      <c r="H19" s="11"/>
      <c r="I19" s="11"/>
      <c r="J19" s="11"/>
      <c r="K19" s="11"/>
      <c r="L19" s="11"/>
      <c r="M19" s="11"/>
      <c r="N19" s="11"/>
      <c r="O19" s="11"/>
      <c r="P19" s="11"/>
      <c r="Q19" s="11"/>
      <c r="R19" s="11"/>
      <c r="S19" s="11"/>
      <c r="T19" s="11"/>
      <c r="U19" s="11"/>
      <c r="V19" s="11"/>
      <c r="W19" s="11"/>
      <c r="X19" s="11"/>
      <c r="Y19" s="11"/>
      <c r="Z19" s="11"/>
    </row>
    <row r="20" ht="34.5" customHeight="1">
      <c r="A20" s="200">
        <v>10.6</v>
      </c>
      <c r="B20" s="228" t="s">
        <v>402</v>
      </c>
      <c r="C20" s="20"/>
      <c r="D20" s="224"/>
      <c r="E20" s="224"/>
      <c r="F20" s="158"/>
      <c r="G20" s="11"/>
      <c r="H20" s="11"/>
      <c r="I20" s="11"/>
      <c r="J20" s="11"/>
      <c r="K20" s="11"/>
      <c r="L20" s="11"/>
      <c r="M20" s="11"/>
      <c r="N20" s="11"/>
      <c r="O20" s="11"/>
      <c r="P20" s="11"/>
      <c r="Q20" s="11"/>
      <c r="R20" s="11"/>
      <c r="S20" s="11"/>
      <c r="T20" s="11"/>
      <c r="U20" s="11"/>
      <c r="V20" s="11"/>
      <c r="W20" s="11"/>
      <c r="X20" s="11"/>
      <c r="Y20" s="11"/>
      <c r="Z20" s="11"/>
    </row>
    <row r="21" ht="79.5" customHeight="1">
      <c r="A21" s="225"/>
      <c r="B21" s="225">
        <v>6.0</v>
      </c>
      <c r="C21" s="221" t="s">
        <v>403</v>
      </c>
      <c r="D21" s="226" t="s">
        <v>88</v>
      </c>
      <c r="E21" s="226" t="s">
        <v>88</v>
      </c>
      <c r="F21" s="227"/>
      <c r="G21" s="11"/>
      <c r="H21" s="11"/>
      <c r="I21" s="11"/>
      <c r="J21" s="11"/>
      <c r="K21" s="11"/>
      <c r="L21" s="11"/>
      <c r="M21" s="11"/>
      <c r="N21" s="11"/>
      <c r="O21" s="11"/>
      <c r="P21" s="11"/>
      <c r="Q21" s="11"/>
      <c r="R21" s="11"/>
      <c r="S21" s="11"/>
      <c r="T21" s="11"/>
      <c r="U21" s="11"/>
      <c r="V21" s="11"/>
      <c r="W21" s="11"/>
      <c r="X21" s="11"/>
      <c r="Y21" s="11"/>
      <c r="Z21" s="11"/>
    </row>
    <row r="22" ht="34.5" customHeight="1">
      <c r="A22" s="200">
        <v>10.7</v>
      </c>
      <c r="B22" s="201" t="s">
        <v>404</v>
      </c>
      <c r="C22" s="20"/>
      <c r="D22" s="224"/>
      <c r="E22" s="224"/>
      <c r="F22" s="158"/>
      <c r="G22" s="11"/>
      <c r="H22" s="11"/>
      <c r="I22" s="11"/>
      <c r="J22" s="11"/>
      <c r="K22" s="11"/>
      <c r="L22" s="11"/>
      <c r="M22" s="11"/>
      <c r="N22" s="11"/>
      <c r="O22" s="11"/>
      <c r="P22" s="11"/>
      <c r="Q22" s="11"/>
      <c r="R22" s="11"/>
      <c r="S22" s="11"/>
      <c r="T22" s="11"/>
      <c r="U22" s="11"/>
      <c r="V22" s="11"/>
      <c r="W22" s="11"/>
      <c r="X22" s="11"/>
      <c r="Y22" s="11"/>
      <c r="Z22" s="11"/>
    </row>
    <row r="23" ht="79.5" customHeight="1">
      <c r="A23" s="225"/>
      <c r="B23" s="225">
        <v>7.0</v>
      </c>
      <c r="C23" s="221" t="s">
        <v>405</v>
      </c>
      <c r="D23" s="226" t="s">
        <v>88</v>
      </c>
      <c r="E23" s="226" t="s">
        <v>88</v>
      </c>
      <c r="F23" s="227"/>
      <c r="G23" s="11"/>
      <c r="H23" s="11"/>
      <c r="I23" s="11"/>
      <c r="J23" s="11"/>
      <c r="K23" s="11"/>
      <c r="L23" s="11"/>
      <c r="M23" s="11"/>
      <c r="N23" s="11"/>
      <c r="O23" s="11"/>
      <c r="P23" s="11"/>
      <c r="Q23" s="11"/>
      <c r="R23" s="11"/>
      <c r="S23" s="11"/>
      <c r="T23" s="11"/>
      <c r="U23" s="11"/>
      <c r="V23" s="11"/>
      <c r="W23" s="11"/>
      <c r="X23" s="11"/>
      <c r="Y23" s="11"/>
      <c r="Z23" s="11"/>
    </row>
    <row r="24" ht="34.5" customHeight="1">
      <c r="A24" s="200">
        <v>10.8</v>
      </c>
      <c r="B24" s="201" t="s">
        <v>406</v>
      </c>
      <c r="C24" s="20"/>
      <c r="D24" s="224"/>
      <c r="E24" s="224"/>
      <c r="F24" s="158"/>
      <c r="G24" s="11"/>
      <c r="H24" s="11"/>
      <c r="I24" s="11"/>
      <c r="J24" s="11"/>
      <c r="K24" s="11"/>
      <c r="L24" s="11"/>
      <c r="M24" s="11"/>
      <c r="N24" s="11"/>
      <c r="O24" s="11"/>
      <c r="P24" s="11"/>
      <c r="Q24" s="11"/>
      <c r="R24" s="11"/>
      <c r="S24" s="11"/>
      <c r="T24" s="11"/>
      <c r="U24" s="11"/>
      <c r="V24" s="11"/>
      <c r="W24" s="11"/>
      <c r="X24" s="11"/>
      <c r="Y24" s="11"/>
      <c r="Z24" s="11"/>
    </row>
    <row r="25" ht="79.5" customHeight="1">
      <c r="A25" s="225"/>
      <c r="B25" s="225">
        <v>8.0</v>
      </c>
      <c r="C25" s="221" t="s">
        <v>407</v>
      </c>
      <c r="D25" s="226" t="s">
        <v>88</v>
      </c>
      <c r="E25" s="226" t="s">
        <v>88</v>
      </c>
      <c r="F25" s="227"/>
      <c r="G25" s="11"/>
      <c r="H25" s="11"/>
      <c r="I25" s="11"/>
      <c r="J25" s="11"/>
      <c r="K25" s="11"/>
      <c r="L25" s="11"/>
      <c r="M25" s="11"/>
      <c r="N25" s="11"/>
      <c r="O25" s="11"/>
      <c r="P25" s="11"/>
      <c r="Q25" s="11"/>
      <c r="R25" s="11"/>
      <c r="S25" s="11"/>
      <c r="T25" s="11"/>
      <c r="U25" s="11"/>
      <c r="V25" s="11"/>
      <c r="W25" s="11"/>
      <c r="X25" s="11"/>
      <c r="Y25" s="11"/>
      <c r="Z25" s="11"/>
    </row>
    <row r="26" ht="34.5" customHeight="1">
      <c r="A26" s="200">
        <v>10.9</v>
      </c>
      <c r="B26" s="228" t="s">
        <v>408</v>
      </c>
      <c r="C26" s="20"/>
      <c r="D26" s="224"/>
      <c r="E26" s="224"/>
      <c r="F26" s="158"/>
      <c r="G26" s="11"/>
      <c r="H26" s="11"/>
      <c r="I26" s="11"/>
      <c r="J26" s="11"/>
      <c r="K26" s="11"/>
      <c r="L26" s="11"/>
      <c r="M26" s="11"/>
      <c r="N26" s="11"/>
      <c r="O26" s="11"/>
      <c r="P26" s="11"/>
      <c r="Q26" s="11"/>
      <c r="R26" s="11"/>
      <c r="S26" s="11"/>
      <c r="T26" s="11"/>
      <c r="U26" s="11"/>
      <c r="V26" s="11"/>
      <c r="W26" s="11"/>
      <c r="X26" s="11"/>
      <c r="Y26" s="11"/>
      <c r="Z26" s="11"/>
    </row>
    <row r="27" ht="49.5" customHeight="1">
      <c r="A27" s="225"/>
      <c r="B27" s="225">
        <v>9.0</v>
      </c>
      <c r="C27" s="221" t="s">
        <v>409</v>
      </c>
      <c r="D27" s="226" t="s">
        <v>88</v>
      </c>
      <c r="E27" s="226" t="s">
        <v>88</v>
      </c>
      <c r="F27" s="227"/>
      <c r="G27" s="11"/>
      <c r="H27" s="11"/>
      <c r="I27" s="11"/>
      <c r="J27" s="11"/>
      <c r="K27" s="11"/>
      <c r="L27" s="11"/>
      <c r="M27" s="11"/>
      <c r="N27" s="11"/>
      <c r="O27" s="11"/>
      <c r="P27" s="11"/>
      <c r="Q27" s="11"/>
      <c r="R27" s="11"/>
      <c r="S27" s="11"/>
      <c r="T27" s="11"/>
      <c r="U27" s="11"/>
      <c r="V27" s="11"/>
      <c r="W27" s="11"/>
      <c r="X27" s="11"/>
      <c r="Y27" s="11"/>
      <c r="Z27" s="11"/>
    </row>
    <row r="28" ht="34.5" customHeight="1">
      <c r="A28" s="229" t="s">
        <v>410</v>
      </c>
      <c r="B28" s="201" t="s">
        <v>411</v>
      </c>
      <c r="C28" s="20"/>
      <c r="D28" s="202"/>
      <c r="E28" s="202"/>
      <c r="F28" s="157"/>
      <c r="G28" s="11"/>
      <c r="H28" s="11"/>
      <c r="I28" s="11"/>
      <c r="J28" s="11"/>
      <c r="K28" s="11"/>
      <c r="L28" s="11"/>
      <c r="M28" s="11"/>
      <c r="N28" s="11"/>
      <c r="O28" s="11"/>
      <c r="P28" s="11"/>
      <c r="Q28" s="11"/>
      <c r="R28" s="11"/>
      <c r="S28" s="11"/>
      <c r="T28" s="11"/>
      <c r="U28" s="11"/>
      <c r="V28" s="11"/>
      <c r="W28" s="11"/>
      <c r="X28" s="11"/>
      <c r="Y28" s="11"/>
      <c r="Z28" s="11"/>
    </row>
    <row r="29" ht="79.5" customHeight="1">
      <c r="A29" s="23"/>
      <c r="B29" s="23">
        <v>10.0</v>
      </c>
      <c r="C29" s="221" t="s">
        <v>412</v>
      </c>
      <c r="D29" s="223" t="s">
        <v>88</v>
      </c>
      <c r="E29" s="223" t="s">
        <v>88</v>
      </c>
      <c r="F29" s="221"/>
      <c r="G29" s="11"/>
      <c r="H29" s="11"/>
      <c r="I29" s="11"/>
      <c r="J29" s="11"/>
      <c r="K29" s="11"/>
      <c r="L29" s="11"/>
      <c r="M29" s="11"/>
      <c r="N29" s="11"/>
      <c r="O29" s="11"/>
      <c r="P29" s="11"/>
      <c r="Q29" s="11"/>
      <c r="R29" s="11"/>
      <c r="S29" s="11"/>
      <c r="T29" s="11"/>
      <c r="U29" s="11"/>
      <c r="V29" s="11"/>
      <c r="W29" s="11"/>
      <c r="X29" s="11"/>
      <c r="Y29" s="11"/>
      <c r="Z29" s="11"/>
    </row>
    <row r="30" ht="34.5" customHeight="1">
      <c r="A30" s="230">
        <v>10.11</v>
      </c>
      <c r="B30" s="228" t="s">
        <v>413</v>
      </c>
      <c r="C30" s="20"/>
      <c r="D30" s="231"/>
      <c r="E30" s="231"/>
      <c r="F30" s="231"/>
      <c r="G30" s="11"/>
      <c r="H30" s="11"/>
      <c r="I30" s="11"/>
      <c r="J30" s="11"/>
      <c r="K30" s="11"/>
      <c r="L30" s="11"/>
      <c r="M30" s="11"/>
      <c r="N30" s="11"/>
      <c r="O30" s="11"/>
      <c r="P30" s="11"/>
      <c r="Q30" s="11"/>
      <c r="R30" s="11"/>
      <c r="S30" s="11"/>
      <c r="T30" s="11"/>
      <c r="U30" s="11"/>
      <c r="V30" s="11"/>
      <c r="W30" s="11"/>
      <c r="X30" s="11"/>
      <c r="Y30" s="11"/>
      <c r="Z30" s="11"/>
    </row>
    <row r="31" ht="99.75" customHeight="1">
      <c r="A31" s="232"/>
      <c r="B31" s="233">
        <v>11.0</v>
      </c>
      <c r="C31" s="221" t="s">
        <v>414</v>
      </c>
      <c r="D31" s="223" t="s">
        <v>88</v>
      </c>
      <c r="E31" s="223" t="s">
        <v>88</v>
      </c>
      <c r="F31" s="232"/>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5">
    <mergeCell ref="A1:B3"/>
    <mergeCell ref="C1:E3"/>
    <mergeCell ref="F1:F3"/>
    <mergeCell ref="A4:C4"/>
    <mergeCell ref="D4:F4"/>
    <mergeCell ref="A5:C5"/>
    <mergeCell ref="D5:F5"/>
    <mergeCell ref="A6:C6"/>
    <mergeCell ref="D6:F6"/>
    <mergeCell ref="A7:A8"/>
    <mergeCell ref="B7:C8"/>
    <mergeCell ref="D7:E7"/>
    <mergeCell ref="F7:F8"/>
    <mergeCell ref="A9:C9"/>
    <mergeCell ref="B24:C24"/>
    <mergeCell ref="B26:C26"/>
    <mergeCell ref="B28:C28"/>
    <mergeCell ref="B30:C30"/>
    <mergeCell ref="B10:C10"/>
    <mergeCell ref="B12:C12"/>
    <mergeCell ref="B14:C14"/>
    <mergeCell ref="B16:C16"/>
    <mergeCell ref="B18:C18"/>
    <mergeCell ref="B20:C20"/>
    <mergeCell ref="B22:C2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2020-02-13T03:24:03Z</dcterms:created>
  <dc:creator>Admin</dc:creator>
</cp:coreProperties>
</file>